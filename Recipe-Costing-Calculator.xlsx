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Ingredients" sheetId="2" state="visible" r:id="rId4"/>
    <sheet name="Recipes" sheetId="3" state="visible" r:id="rId5"/>
    <sheet name="Dashboard" sheetId="4" state="visible" r:id="rId6"/>
    <sheet name="Blank Recipe Templat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<sst xmlns="http://schemas.openxmlformats.org/spreadsheetml/2006/main" count="239" uniqueCount="99">
  <si>
    <t xml:space="preserve">Recipe Costing Calculator</t>
  </si>
  <si>
    <t xml:space="preserve">Quick-Start Guide</t>
  </si>
  <si>
    <t xml:space="preserve">Step 1:</t>
  </si>
  <si>
    <t xml:space="preserve">Go to the 'Ingredients' sheet and add your ingredients with vendor prices</t>
  </si>
  <si>
    <t xml:space="preserve">Step 2:</t>
  </si>
  <si>
    <t xml:space="preserve">Go to the 'Recipes' sheet and build your recipes using ingredients from the list</t>
  </si>
  <si>
    <t xml:space="preserve">Step 3:</t>
  </si>
  <si>
    <t xml:space="preserve">Set your menu price for each recipe</t>
  </si>
  <si>
    <t xml:space="preserve">Step 4:</t>
  </si>
  <si>
    <t xml:space="preserve">Check the 'Dashboard' sheet — your food cost % and margins auto-calculate</t>
  </si>
  <si>
    <t xml:space="preserve">Step 5:</t>
  </si>
  <si>
    <t xml:space="preserve">When vendor prices change, update the Ingredients sheet — everything recalculates</t>
  </si>
  <si>
    <t xml:space="preserve">Color Key</t>
  </si>
  <si>
    <t xml:space="preserve">Blue text = input cells (you fill these in)</t>
  </si>
  <si>
    <t xml:space="preserve">Yellow background = key assumptions to review</t>
  </si>
  <si>
    <t xml:space="preserve">Black text = formulas (don't edit these)</t>
  </si>
  <si>
    <t xml:space="preserve">Target food cost % by category:</t>
  </si>
  <si>
    <t xml:space="preserve">Appetizers: &lt; 30%  |  Entrées: &lt; 35%  |  Bar/Drinks: &lt; 22%  |  Desserts: &lt; 28%</t>
  </si>
  <si>
    <t xml:space="preserve">Master Ingredient List</t>
  </si>
  <si>
    <t xml:space="preserve">#</t>
  </si>
  <si>
    <t xml:space="preserve">Ingredient</t>
  </si>
  <si>
    <t xml:space="preserve">Category</t>
  </si>
  <si>
    <t xml:space="preserve">Vendor</t>
  </si>
  <si>
    <t xml:space="preserve">Pack Size</t>
  </si>
  <si>
    <t xml:space="preserve">Pack Unit</t>
  </si>
  <si>
    <t xml:space="preserve">Pack Price</t>
  </si>
  <si>
    <t xml:space="preserve">Unit Cost</t>
  </si>
  <si>
    <t xml:space="preserve">Last Updated</t>
  </si>
  <si>
    <t xml:space="preserve">Notes</t>
  </si>
  <si>
    <t xml:space="preserve">Lobster Meat</t>
  </si>
  <si>
    <t xml:space="preserve">Seafood</t>
  </si>
  <si>
    <t xml:space="preserve">Cape Cod Shellfish</t>
  </si>
  <si>
    <t xml:space="preserve">lb</t>
  </si>
  <si>
    <t xml:space="preserve">3/18/2026</t>
  </si>
  <si>
    <t xml:space="preserve">Cavatappi Pasta</t>
  </si>
  <si>
    <t xml:space="preserve">Dry Goods</t>
  </si>
  <si>
    <t xml:space="preserve">US Foods</t>
  </si>
  <si>
    <t xml:space="preserve">3/15/2026</t>
  </si>
  <si>
    <t xml:space="preserve">Sharp Cheddar</t>
  </si>
  <si>
    <t xml:space="preserve">Dairy</t>
  </si>
  <si>
    <t xml:space="preserve">Performance Food</t>
  </si>
  <si>
    <t xml:space="preserve">Heavy Cream</t>
  </si>
  <si>
    <t xml:space="preserve">qt</t>
  </si>
  <si>
    <t xml:space="preserve">3/12/2026</t>
  </si>
  <si>
    <t xml:space="preserve">Gruyere</t>
  </si>
  <si>
    <t xml:space="preserve">Butter</t>
  </si>
  <si>
    <t xml:space="preserve">Panko Breadcrumbs</t>
  </si>
  <si>
    <t xml:space="preserve">Old Bay Seasoning</t>
  </si>
  <si>
    <t xml:space="preserve">oz</t>
  </si>
  <si>
    <t xml:space="preserve">3/10/2026</t>
  </si>
  <si>
    <t xml:space="preserve">Chives</t>
  </si>
  <si>
    <t xml:space="preserve">Produce</t>
  </si>
  <si>
    <t xml:space="preserve">Local Farm</t>
  </si>
  <si>
    <t xml:space="preserve">bunch</t>
  </si>
  <si>
    <t xml:space="preserve">Cod Fillet</t>
  </si>
  <si>
    <t xml:space="preserve">Flour Tortillas (10in)</t>
  </si>
  <si>
    <t xml:space="preserve">ea</t>
  </si>
  <si>
    <t xml:space="preserve">Cabbage Slaw Mix</t>
  </si>
  <si>
    <t xml:space="preserve">Lime Crema</t>
  </si>
  <si>
    <t xml:space="preserve">House Made</t>
  </si>
  <si>
    <t xml:space="preserve">Mixed Greens</t>
  </si>
  <si>
    <t xml:space="preserve">Cherry Tomatoes</t>
  </si>
  <si>
    <t xml:space="preserve">pint</t>
  </si>
  <si>
    <t xml:space="preserve">House Vinaigrette</t>
  </si>
  <si>
    <t xml:space="preserve">Condiment</t>
  </si>
  <si>
    <t xml:space="preserve">Swordfish Loin</t>
  </si>
  <si>
    <t xml:space="preserve">Seasonal Vegetables</t>
  </si>
  <si>
    <t xml:space="preserve">Lemon Butter Sauce</t>
  </si>
  <si>
    <t xml:space="preserve">Jasmine Rice</t>
  </si>
  <si>
    <t xml:space="preserve">Recipe: Lobster Mac &amp; Cheese</t>
  </si>
  <si>
    <t xml:space="preserve">Category:</t>
  </si>
  <si>
    <t xml:space="preserve">Entrée</t>
  </si>
  <si>
    <t xml:space="preserve">Menu Price:</t>
  </si>
  <si>
    <t xml:space="preserve">Servings:</t>
  </si>
  <si>
    <t xml:space="preserve">Unit</t>
  </si>
  <si>
    <t xml:space="preserve">Qty Used</t>
  </si>
  <si>
    <t xml:space="preserve">Line Cost</t>
  </si>
  <si>
    <t xml:space="preserve">TOTAL PLATE COST</t>
  </si>
  <si>
    <t xml:space="preserve">Food Cost %:</t>
  </si>
  <si>
    <t xml:space="preserve">Gross Profit:</t>
  </si>
  <si>
    <t xml:space="preserve">Cost per Serving:</t>
  </si>
  <si>
    <t xml:space="preserve">Recipe: Fish Tacos</t>
  </si>
  <si>
    <t xml:space="preserve">Menu Costing Dashboard</t>
  </si>
  <si>
    <t xml:space="preserve">Recipe</t>
  </si>
  <si>
    <t xml:space="preserve">Menu Price</t>
  </si>
  <si>
    <t xml:space="preserve">Plate Cost</t>
  </si>
  <si>
    <t xml:space="preserve">Food Cost %</t>
  </si>
  <si>
    <t xml:space="preserve">Gross Profit</t>
  </si>
  <si>
    <t xml:space="preserve">Status</t>
  </si>
  <si>
    <t xml:space="preserve">Lobster Mac &amp; Cheese</t>
  </si>
  <si>
    <t xml:space="preserve">Fish Tacos</t>
  </si>
  <si>
    <t xml:space="preserve">(add your recipes here)</t>
  </si>
  <si>
    <t xml:space="preserve">SUMMARY</t>
  </si>
  <si>
    <t xml:space="preserve">Average Food Cost %:</t>
  </si>
  <si>
    <t xml:space="preserve">Total Recipes Costed:</t>
  </si>
  <si>
    <t xml:space="preserve">Recipes Over 35%:</t>
  </si>
  <si>
    <t xml:space="preserve">Avg Gross Profit / Plate:</t>
  </si>
  <si>
    <t xml:space="preserve">Recipe: [Enter Recipe Name]</t>
  </si>
  <si>
    <t xml:space="preserve">[Appetizer / Entrée / Dessert / Bar]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</si>
</sst>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2D2D2D"/>
      <name val="Arial"/>
      <family val="0"/>
      <charset val="1"/>
    </font>
    <font>
      <b val="true"/>
      <sz val="12"/>
      <color rgb="FF2D2D2D"/>
      <name val="Arial"/>
      <family val="0"/>
      <charset val="1"/>
    </font>
    <font>
      <b val="true"/>
      <sz val="11"/>
      <color rgb="FF2D2D2D"/>
      <name val="Arial"/>
      <family val="0"/>
      <charset val="1"/>
    </font>
    <font>
      <sz val="11"/>
      <color rgb="FF2D2D2D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9B9A97"/>
      <name val="Arial"/>
      <family val="0"/>
      <charset val="1"/>
    </font>
    <font>
      <b val="true"/>
      <sz val="16"/>
      <color rgb="FF2D2D2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C4322B"/>
      <name val="Arial"/>
      <family val="0"/>
      <charset val="1"/>
    </font>
    <font>
      <b val="true"/>
      <sz val="14"/>
      <color rgb="FF93532B"/>
      <name val="Arial"/>
      <family val="0"/>
      <charset val="1"/>
    </font>
    <font>
      <b val="true"/>
      <sz val="14"/>
      <color rgb="FF1E6B2C"/>
      <name val="Arial"/>
      <family val="0"/>
      <charset val="1"/>
    </font>
    <font>
      <b val="true"/>
      <sz val="11"/>
      <color rgb="FF1E6B2C"/>
      <name val="Arial"/>
      <family val="0"/>
      <charset val="1"/>
    </font>
    <font>
      <b val="true"/>
      <sz val="16"/>
      <color rgb="FF93532B"/>
      <name val="Arial"/>
      <family val="0"/>
      <charset val="1"/>
    </font>
    <font>
      <b val="true"/>
      <sz val="16"/>
      <color rgb="FF24548D"/>
      <name val="Arial"/>
      <family val="0"/>
      <charset val="1"/>
    </font>
    <font>
      <b val="true"/>
      <sz val="16"/>
      <color rgb="FFC4322B"/>
      <name val="Arial"/>
      <family val="0"/>
      <charset val="1"/>
    </font>
    <font>
      <b val="true"/>
      <sz val="16"/>
      <color rgb="FF1E6B2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8E1"/>
        <bgColor rgb="FFF7F6F3"/>
      </patternFill>
    </fill>
    <fill>
      <patternFill patternType="solid">
        <fgColor rgb="FF37352F"/>
        <bgColor rgb="FF2D2D2D"/>
      </patternFill>
    </fill>
    <fill>
      <patternFill patternType="solid">
        <fgColor rgb="FFF7F6F3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C"/>
      <rgbColor rgb="FF000080"/>
      <rgbColor rgb="FF808000"/>
      <rgbColor rgb="FF800080"/>
      <rgbColor rgb="FF008080"/>
      <rgbColor rgb="FFC0C0C0"/>
      <rgbColor rgb="FF808080"/>
      <rgbColor rgb="FF9999FF"/>
      <rgbColor rgb="FF93532B"/>
      <rgbColor rgb="FFFFF8E1"/>
      <rgbColor rgb="FFF7F6F3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383E2"/>
      <rgbColor rgb="FF33CCCC"/>
      <rgbColor rgb="FF99CC00"/>
      <rgbColor rgb="FFFFCC00"/>
      <rgbColor rgb="FFCF8316"/>
      <rgbColor rgb="FFFF6600"/>
      <rgbColor rgb="FF666699"/>
      <rgbColor rgb="FF9B9A97"/>
      <rgbColor rgb="FF003366"/>
      <rgbColor rgb="FF339966"/>
      <rgbColor rgb="FF003300"/>
      <rgbColor rgb="FF2D2D2D"/>
      <rgbColor rgb="FFC4322B"/>
      <rgbColor rgb="FF993366"/>
      <rgbColor rgb="FF24548D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83E2"/>
    <pageSetUpPr fitToPage="false"/>
  </sheetPr>
  <dimension ref="B2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40"/>
  </cols>
  <sheetData>
    <row r="2" customFormat="false" ht="26.8" hidden="false" customHeight="false" outlineLevel="0" collapsed="false">
      <c r="B2" s="1" t="s">
        <v>0</v>
      </c>
      <c r="C2" s="1"/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4" t="s">
        <v>3</v>
      </c>
    </row>
    <row r="7" customFormat="false" ht="15" hidden="false" customHeight="false" outlineLevel="0" collapsed="false">
      <c r="B7" s="3" t="s">
        <v>4</v>
      </c>
      <c r="C7" s="4" t="s">
        <v>5</v>
      </c>
    </row>
    <row r="8" customFormat="false" ht="15" hidden="false" customHeight="false" outlineLevel="0" collapsed="false">
      <c r="B8" s="3" t="s">
        <v>6</v>
      </c>
      <c r="C8" s="4" t="s">
        <v>7</v>
      </c>
    </row>
    <row r="9" customFormat="false" ht="15" hidden="false" customHeight="false" outlineLevel="0" collapsed="false">
      <c r="B9" s="3" t="s">
        <v>8</v>
      </c>
      <c r="C9" s="4" t="s">
        <v>9</v>
      </c>
    </row>
    <row r="10" customFormat="false" ht="15" hidden="false" customHeight="false" outlineLevel="0" collapsed="false">
      <c r="B10" s="3" t="s">
        <v>10</v>
      </c>
      <c r="C10" s="4" t="s">
        <v>11</v>
      </c>
    </row>
    <row r="13" customFormat="false" ht="15" hidden="false" customHeight="false" outlineLevel="0" collapsed="false">
      <c r="B13" s="2" t="s">
        <v>12</v>
      </c>
    </row>
    <row r="14" customFormat="false" ht="15" hidden="false" customHeight="false" outlineLevel="0" collapsed="false">
      <c r="B14" s="5" t="s">
        <v>13</v>
      </c>
    </row>
    <row r="15" customFormat="false" ht="15" hidden="false" customHeight="false" outlineLevel="0" collapsed="false">
      <c r="B15" s="6" t="s">
        <v>14</v>
      </c>
    </row>
    <row r="16" customFormat="false" ht="15" hidden="false" customHeight="false" outlineLevel="0" collapsed="false">
      <c r="B16" s="4" t="s">
        <v>15</v>
      </c>
    </row>
    <row r="18" customFormat="false" ht="15" hidden="false" customHeight="false" outlineLevel="0" collapsed="false">
      <c r="B18" s="2" t="s">
        <v>16</v>
      </c>
    </row>
    <row r="19" customFormat="false" ht="15" hidden="false" customHeight="false" outlineLevel="0" collapsed="false">
      <c r="B19" s="7" t="s">
        <v>17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2C"/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</row>
    <row r="3" customFormat="false" ht="15" hidden="false" customHeight="false" outlineLevel="0" collapsed="false">
      <c r="A3" s="9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  <c r="H3" s="9" t="s">
        <v>26</v>
      </c>
      <c r="I3" s="9" t="s">
        <v>27</v>
      </c>
      <c r="J3" s="9" t="s">
        <v>28</v>
      </c>
    </row>
    <row r="4" customFormat="false" ht="15" hidden="false" customHeight="false" outlineLevel="0" collapsed="false">
      <c r="A4" s="10" t="n">
        <v>1</v>
      </c>
      <c r="B4" s="10" t="s">
        <v>29</v>
      </c>
      <c r="C4" s="10" t="s">
        <v>30</v>
      </c>
      <c r="D4" s="10" t="s">
        <v>31</v>
      </c>
      <c r="E4" s="11" t="n">
        <v>2</v>
      </c>
      <c r="F4" s="10" t="s">
        <v>32</v>
      </c>
      <c r="G4" s="12" t="n">
        <v>29.5</v>
      </c>
      <c r="H4" s="13" t="n">
        <f aca="false">G4/E4</f>
        <v>14.75</v>
      </c>
      <c r="I4" s="10" t="s">
        <v>33</v>
      </c>
      <c r="J4" s="10"/>
    </row>
    <row r="5" customFormat="false" ht="15" hidden="false" customHeight="false" outlineLevel="0" collapsed="false">
      <c r="A5" s="10" t="n">
        <v>2</v>
      </c>
      <c r="B5" s="10" t="s">
        <v>34</v>
      </c>
      <c r="C5" s="10" t="s">
        <v>35</v>
      </c>
      <c r="D5" s="10" t="s">
        <v>36</v>
      </c>
      <c r="E5" s="11" t="n">
        <v>10</v>
      </c>
      <c r="F5" s="10" t="s">
        <v>32</v>
      </c>
      <c r="G5" s="12" t="n">
        <v>12.8</v>
      </c>
      <c r="H5" s="13" t="n">
        <f aca="false">G5/E5</f>
        <v>1.28</v>
      </c>
      <c r="I5" s="10" t="s">
        <v>37</v>
      </c>
      <c r="J5" s="10"/>
    </row>
    <row r="6" customFormat="false" ht="15" hidden="false" customHeight="false" outlineLevel="0" collapsed="false">
      <c r="A6" s="10" t="n">
        <v>3</v>
      </c>
      <c r="B6" s="10" t="s">
        <v>38</v>
      </c>
      <c r="C6" s="10" t="s">
        <v>39</v>
      </c>
      <c r="D6" s="10" t="s">
        <v>40</v>
      </c>
      <c r="E6" s="11" t="n">
        <v>5</v>
      </c>
      <c r="F6" s="10" t="s">
        <v>32</v>
      </c>
      <c r="G6" s="12" t="n">
        <v>18.4</v>
      </c>
      <c r="H6" s="13" t="n">
        <f aca="false">G6/E6</f>
        <v>3.68</v>
      </c>
      <c r="I6" s="10" t="s">
        <v>37</v>
      </c>
      <c r="J6" s="10"/>
    </row>
    <row r="7" customFormat="false" ht="15" hidden="false" customHeight="false" outlineLevel="0" collapsed="false">
      <c r="A7" s="10" t="n">
        <v>4</v>
      </c>
      <c r="B7" s="10" t="s">
        <v>41</v>
      </c>
      <c r="C7" s="10" t="s">
        <v>39</v>
      </c>
      <c r="D7" s="10" t="s">
        <v>40</v>
      </c>
      <c r="E7" s="11" t="n">
        <v>1</v>
      </c>
      <c r="F7" s="10" t="s">
        <v>42</v>
      </c>
      <c r="G7" s="12" t="n">
        <v>5.2</v>
      </c>
      <c r="H7" s="13" t="n">
        <f aca="false">G7/E7</f>
        <v>5.2</v>
      </c>
      <c r="I7" s="10" t="s">
        <v>43</v>
      </c>
      <c r="J7" s="10"/>
    </row>
    <row r="8" customFormat="false" ht="15" hidden="false" customHeight="false" outlineLevel="0" collapsed="false">
      <c r="A8" s="10" t="n">
        <v>5</v>
      </c>
      <c r="B8" s="10" t="s">
        <v>44</v>
      </c>
      <c r="C8" s="10" t="s">
        <v>39</v>
      </c>
      <c r="D8" s="10" t="s">
        <v>40</v>
      </c>
      <c r="E8" s="11" t="n">
        <v>1</v>
      </c>
      <c r="F8" s="10" t="s">
        <v>32</v>
      </c>
      <c r="G8" s="12" t="n">
        <v>12.6</v>
      </c>
      <c r="H8" s="13" t="n">
        <f aca="false">G8/E8</f>
        <v>12.6</v>
      </c>
      <c r="I8" s="10" t="s">
        <v>37</v>
      </c>
      <c r="J8" s="10"/>
    </row>
    <row r="9" customFormat="false" ht="15" hidden="false" customHeight="false" outlineLevel="0" collapsed="false">
      <c r="A9" s="10" t="n">
        <v>6</v>
      </c>
      <c r="B9" s="10" t="s">
        <v>45</v>
      </c>
      <c r="C9" s="10" t="s">
        <v>39</v>
      </c>
      <c r="D9" s="10" t="s">
        <v>36</v>
      </c>
      <c r="E9" s="11" t="n">
        <v>1</v>
      </c>
      <c r="F9" s="10" t="s">
        <v>32</v>
      </c>
      <c r="G9" s="12" t="n">
        <v>4.8</v>
      </c>
      <c r="H9" s="13" t="n">
        <f aca="false">G9/E9</f>
        <v>4.8</v>
      </c>
      <c r="I9" s="10" t="s">
        <v>37</v>
      </c>
      <c r="J9" s="10"/>
    </row>
    <row r="10" customFormat="false" ht="15" hidden="false" customHeight="false" outlineLevel="0" collapsed="false">
      <c r="A10" s="10" t="n">
        <v>7</v>
      </c>
      <c r="B10" s="10" t="s">
        <v>46</v>
      </c>
      <c r="C10" s="10" t="s">
        <v>35</v>
      </c>
      <c r="D10" s="10" t="s">
        <v>36</v>
      </c>
      <c r="E10" s="11" t="n">
        <v>3</v>
      </c>
      <c r="F10" s="10" t="s">
        <v>32</v>
      </c>
      <c r="G10" s="12" t="n">
        <v>7.5</v>
      </c>
      <c r="H10" s="13" t="n">
        <f aca="false">G10/E10</f>
        <v>2.5</v>
      </c>
      <c r="I10" s="10" t="s">
        <v>37</v>
      </c>
      <c r="J10" s="10"/>
    </row>
    <row r="11" customFormat="false" ht="15" hidden="false" customHeight="false" outlineLevel="0" collapsed="false">
      <c r="A11" s="10" t="n">
        <v>8</v>
      </c>
      <c r="B11" s="10" t="s">
        <v>47</v>
      </c>
      <c r="C11" s="10" t="s">
        <v>35</v>
      </c>
      <c r="D11" s="10" t="s">
        <v>36</v>
      </c>
      <c r="E11" s="11" t="n">
        <v>24</v>
      </c>
      <c r="F11" s="10" t="s">
        <v>48</v>
      </c>
      <c r="G11" s="12" t="n">
        <v>8.9</v>
      </c>
      <c r="H11" s="13" t="n">
        <f aca="false">G11/E11</f>
        <v>0.370833333333333</v>
      </c>
      <c r="I11" s="10" t="s">
        <v>49</v>
      </c>
      <c r="J11" s="10"/>
    </row>
    <row r="12" customFormat="false" ht="15" hidden="false" customHeight="false" outlineLevel="0" collapsed="false">
      <c r="A12" s="10" t="n">
        <v>9</v>
      </c>
      <c r="B12" s="10" t="s">
        <v>50</v>
      </c>
      <c r="C12" s="10" t="s">
        <v>51</v>
      </c>
      <c r="D12" s="10" t="s">
        <v>52</v>
      </c>
      <c r="E12" s="11" t="n">
        <v>1</v>
      </c>
      <c r="F12" s="10" t="s">
        <v>53</v>
      </c>
      <c r="G12" s="12" t="n">
        <v>2.5</v>
      </c>
      <c r="H12" s="13" t="n">
        <f aca="false">G12/E12</f>
        <v>2.5</v>
      </c>
      <c r="I12" s="10" t="s">
        <v>33</v>
      </c>
      <c r="J12" s="10"/>
    </row>
    <row r="13" customFormat="false" ht="15" hidden="false" customHeight="false" outlineLevel="0" collapsed="false">
      <c r="A13" s="10" t="n">
        <v>10</v>
      </c>
      <c r="B13" s="10" t="s">
        <v>54</v>
      </c>
      <c r="C13" s="10" t="s">
        <v>30</v>
      </c>
      <c r="D13" s="10" t="s">
        <v>31</v>
      </c>
      <c r="E13" s="11" t="n">
        <v>10</v>
      </c>
      <c r="F13" s="10" t="s">
        <v>32</v>
      </c>
      <c r="G13" s="12" t="n">
        <v>68</v>
      </c>
      <c r="H13" s="13" t="n">
        <f aca="false">G13/E13</f>
        <v>6.8</v>
      </c>
      <c r="I13" s="10" t="s">
        <v>33</v>
      </c>
      <c r="J13" s="10"/>
    </row>
    <row r="14" customFormat="false" ht="15" hidden="false" customHeight="false" outlineLevel="0" collapsed="false">
      <c r="A14" s="10" t="n">
        <v>11</v>
      </c>
      <c r="B14" s="10" t="s">
        <v>55</v>
      </c>
      <c r="C14" s="10" t="s">
        <v>35</v>
      </c>
      <c r="D14" s="10" t="s">
        <v>36</v>
      </c>
      <c r="E14" s="11" t="n">
        <v>12</v>
      </c>
      <c r="F14" s="10" t="s">
        <v>56</v>
      </c>
      <c r="G14" s="12" t="n">
        <v>4.8</v>
      </c>
      <c r="H14" s="13" t="n">
        <f aca="false">G14/E14</f>
        <v>0.4</v>
      </c>
      <c r="I14" s="10" t="s">
        <v>37</v>
      </c>
      <c r="J14" s="10"/>
    </row>
    <row r="15" customFormat="false" ht="15" hidden="false" customHeight="false" outlineLevel="0" collapsed="false">
      <c r="A15" s="10" t="n">
        <v>12</v>
      </c>
      <c r="B15" s="10" t="s">
        <v>57</v>
      </c>
      <c r="C15" s="10" t="s">
        <v>51</v>
      </c>
      <c r="D15" s="10" t="s">
        <v>40</v>
      </c>
      <c r="E15" s="11" t="n">
        <v>5</v>
      </c>
      <c r="F15" s="10" t="s">
        <v>32</v>
      </c>
      <c r="G15" s="12" t="n">
        <v>8.5</v>
      </c>
      <c r="H15" s="13" t="n">
        <f aca="false">G15/E15</f>
        <v>1.7</v>
      </c>
      <c r="I15" s="10" t="s">
        <v>43</v>
      </c>
      <c r="J15" s="10"/>
    </row>
    <row r="16" customFormat="false" ht="15" hidden="false" customHeight="false" outlineLevel="0" collapsed="false">
      <c r="A16" s="10" t="n">
        <v>13</v>
      </c>
      <c r="B16" s="10" t="s">
        <v>58</v>
      </c>
      <c r="C16" s="10" t="s">
        <v>39</v>
      </c>
      <c r="D16" s="10" t="s">
        <v>59</v>
      </c>
      <c r="E16" s="11" t="n">
        <v>1</v>
      </c>
      <c r="F16" s="10" t="s">
        <v>42</v>
      </c>
      <c r="G16" s="12" t="n">
        <v>3.2</v>
      </c>
      <c r="H16" s="13" t="n">
        <f aca="false">G16/E16</f>
        <v>3.2</v>
      </c>
      <c r="I16" s="10" t="s">
        <v>33</v>
      </c>
      <c r="J16" s="10"/>
    </row>
    <row r="17" customFormat="false" ht="15" hidden="false" customHeight="false" outlineLevel="0" collapsed="false">
      <c r="A17" s="10" t="n">
        <v>14</v>
      </c>
      <c r="B17" s="10" t="s">
        <v>60</v>
      </c>
      <c r="C17" s="10" t="s">
        <v>51</v>
      </c>
      <c r="D17" s="10" t="s">
        <v>52</v>
      </c>
      <c r="E17" s="11" t="n">
        <v>3</v>
      </c>
      <c r="F17" s="10" t="s">
        <v>32</v>
      </c>
      <c r="G17" s="12" t="n">
        <v>9.6</v>
      </c>
      <c r="H17" s="13" t="n">
        <f aca="false">G17/E17</f>
        <v>3.2</v>
      </c>
      <c r="I17" s="10" t="s">
        <v>33</v>
      </c>
      <c r="J17" s="10"/>
    </row>
    <row r="18" customFormat="false" ht="15" hidden="false" customHeight="false" outlineLevel="0" collapsed="false">
      <c r="A18" s="10" t="n">
        <v>15</v>
      </c>
      <c r="B18" s="10" t="s">
        <v>61</v>
      </c>
      <c r="C18" s="10" t="s">
        <v>51</v>
      </c>
      <c r="D18" s="10" t="s">
        <v>52</v>
      </c>
      <c r="E18" s="11" t="n">
        <v>1</v>
      </c>
      <c r="F18" s="10" t="s">
        <v>62</v>
      </c>
      <c r="G18" s="12" t="n">
        <v>3.8</v>
      </c>
      <c r="H18" s="13" t="n">
        <f aca="false">G18/E18</f>
        <v>3.8</v>
      </c>
      <c r="I18" s="10" t="s">
        <v>33</v>
      </c>
      <c r="J18" s="10"/>
    </row>
    <row r="19" customFormat="false" ht="15" hidden="false" customHeight="false" outlineLevel="0" collapsed="false">
      <c r="A19" s="10" t="n">
        <v>16</v>
      </c>
      <c r="B19" s="10" t="s">
        <v>63</v>
      </c>
      <c r="C19" s="10" t="s">
        <v>64</v>
      </c>
      <c r="D19" s="10" t="s">
        <v>59</v>
      </c>
      <c r="E19" s="11" t="n">
        <v>1</v>
      </c>
      <c r="F19" s="10" t="s">
        <v>42</v>
      </c>
      <c r="G19" s="12" t="n">
        <v>2.1</v>
      </c>
      <c r="H19" s="13" t="n">
        <f aca="false">G19/E19</f>
        <v>2.1</v>
      </c>
      <c r="I19" s="10" t="s">
        <v>33</v>
      </c>
      <c r="J19" s="10"/>
    </row>
    <row r="20" customFormat="false" ht="15" hidden="false" customHeight="false" outlineLevel="0" collapsed="false">
      <c r="A20" s="10" t="n">
        <v>17</v>
      </c>
      <c r="B20" s="10" t="s">
        <v>65</v>
      </c>
      <c r="C20" s="10" t="s">
        <v>30</v>
      </c>
      <c r="D20" s="10" t="s">
        <v>31</v>
      </c>
      <c r="E20" s="11" t="n">
        <v>10</v>
      </c>
      <c r="F20" s="10" t="s">
        <v>32</v>
      </c>
      <c r="G20" s="12" t="n">
        <v>78.4</v>
      </c>
      <c r="H20" s="13" t="n">
        <f aca="false">G20/E20</f>
        <v>7.84</v>
      </c>
      <c r="I20" s="10" t="s">
        <v>37</v>
      </c>
      <c r="J20" s="10"/>
    </row>
    <row r="21" customFormat="false" ht="15" hidden="false" customHeight="false" outlineLevel="0" collapsed="false">
      <c r="A21" s="10" t="n">
        <v>18</v>
      </c>
      <c r="B21" s="10" t="s">
        <v>66</v>
      </c>
      <c r="C21" s="10" t="s">
        <v>51</v>
      </c>
      <c r="D21" s="10" t="s">
        <v>52</v>
      </c>
      <c r="E21" s="11" t="n">
        <v>5</v>
      </c>
      <c r="F21" s="10" t="s">
        <v>32</v>
      </c>
      <c r="G21" s="12" t="n">
        <v>12</v>
      </c>
      <c r="H21" s="13" t="n">
        <f aca="false">G21/E21</f>
        <v>2.4</v>
      </c>
      <c r="I21" s="10" t="s">
        <v>33</v>
      </c>
      <c r="J21" s="10"/>
    </row>
    <row r="22" customFormat="false" ht="15" hidden="false" customHeight="false" outlineLevel="0" collapsed="false">
      <c r="A22" s="10" t="n">
        <v>19</v>
      </c>
      <c r="B22" s="10" t="s">
        <v>67</v>
      </c>
      <c r="C22" s="10" t="s">
        <v>64</v>
      </c>
      <c r="D22" s="10" t="s">
        <v>59</v>
      </c>
      <c r="E22" s="11" t="n">
        <v>1</v>
      </c>
      <c r="F22" s="10" t="s">
        <v>42</v>
      </c>
      <c r="G22" s="12" t="n">
        <v>4.5</v>
      </c>
      <c r="H22" s="13" t="n">
        <f aca="false">G22/E22</f>
        <v>4.5</v>
      </c>
      <c r="I22" s="10" t="s">
        <v>33</v>
      </c>
      <c r="J22" s="10"/>
    </row>
    <row r="23" customFormat="false" ht="15" hidden="false" customHeight="false" outlineLevel="0" collapsed="false">
      <c r="A23" s="10" t="n">
        <v>20</v>
      </c>
      <c r="B23" s="10" t="s">
        <v>68</v>
      </c>
      <c r="C23" s="10" t="s">
        <v>35</v>
      </c>
      <c r="D23" s="10" t="s">
        <v>36</v>
      </c>
      <c r="E23" s="11" t="n">
        <v>25</v>
      </c>
      <c r="F23" s="10" t="s">
        <v>32</v>
      </c>
      <c r="G23" s="12" t="n">
        <v>18.75</v>
      </c>
      <c r="H23" s="13" t="n">
        <f aca="false">G23/E23</f>
        <v>0.75</v>
      </c>
      <c r="I23" s="10" t="s">
        <v>49</v>
      </c>
      <c r="J23" s="10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F8316"/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4" t="s">
        <v>69</v>
      </c>
      <c r="B1" s="14"/>
      <c r="C1" s="14"/>
      <c r="D1" s="14"/>
      <c r="E1" s="14"/>
      <c r="F1" s="14"/>
      <c r="G1" s="14"/>
      <c r="H1" s="14"/>
    </row>
    <row r="2" customFormat="false" ht="15" hidden="false" customHeight="false" outlineLevel="0" collapsed="false">
      <c r="A2" s="7" t="s">
        <v>70</v>
      </c>
      <c r="B2" s="5" t="s">
        <v>71</v>
      </c>
      <c r="C2" s="7" t="s">
        <v>72</v>
      </c>
      <c r="D2" s="15" t="n">
        <v>26</v>
      </c>
      <c r="E2" s="7" t="s">
        <v>73</v>
      </c>
      <c r="F2" s="16" t="n">
        <v>1</v>
      </c>
    </row>
    <row r="4" customFormat="false" ht="15" hidden="false" customHeight="false" outlineLevel="0" collapsed="false">
      <c r="A4" s="9" t="s">
        <v>20</v>
      </c>
      <c r="B4" s="9" t="s">
        <v>22</v>
      </c>
      <c r="C4" s="9" t="s">
        <v>25</v>
      </c>
      <c r="D4" s="9" t="s">
        <v>23</v>
      </c>
      <c r="E4" s="9" t="s">
        <v>74</v>
      </c>
      <c r="F4" s="9" t="s">
        <v>26</v>
      </c>
      <c r="G4" s="9" t="s">
        <v>75</v>
      </c>
      <c r="H4" s="9" t="s">
        <v>76</v>
      </c>
    </row>
    <row r="5" customFormat="false" ht="15" hidden="false" customHeight="false" outlineLevel="0" collapsed="false">
      <c r="A5" s="10" t="s">
        <v>29</v>
      </c>
      <c r="B5" s="10" t="s">
        <v>31</v>
      </c>
      <c r="C5" s="13" t="n">
        <v>29.5</v>
      </c>
      <c r="D5" s="10" t="n">
        <v>2</v>
      </c>
      <c r="E5" s="10" t="s">
        <v>32</v>
      </c>
      <c r="F5" s="13" t="n">
        <f aca="false">C5/D5</f>
        <v>14.75</v>
      </c>
      <c r="G5" s="11" t="n">
        <v>0.33</v>
      </c>
      <c r="H5" s="17" t="n">
        <f aca="false">F5*G5</f>
        <v>4.8675</v>
      </c>
    </row>
    <row r="6" customFormat="false" ht="15" hidden="false" customHeight="false" outlineLevel="0" collapsed="false">
      <c r="A6" s="10" t="s">
        <v>34</v>
      </c>
      <c r="B6" s="10" t="s">
        <v>36</v>
      </c>
      <c r="C6" s="13" t="n">
        <v>12.8</v>
      </c>
      <c r="D6" s="10" t="n">
        <v>10</v>
      </c>
      <c r="E6" s="10" t="s">
        <v>32</v>
      </c>
      <c r="F6" s="13" t="n">
        <f aca="false">C6/D6</f>
        <v>1.28</v>
      </c>
      <c r="G6" s="11" t="n">
        <v>0.5</v>
      </c>
      <c r="H6" s="17" t="n">
        <f aca="false">F6*G6</f>
        <v>0.64</v>
      </c>
    </row>
    <row r="7" customFormat="false" ht="15" hidden="false" customHeight="false" outlineLevel="0" collapsed="false">
      <c r="A7" s="10" t="s">
        <v>38</v>
      </c>
      <c r="B7" s="10" t="s">
        <v>40</v>
      </c>
      <c r="C7" s="13" t="n">
        <v>18.4</v>
      </c>
      <c r="D7" s="10" t="n">
        <v>5</v>
      </c>
      <c r="E7" s="10" t="s">
        <v>32</v>
      </c>
      <c r="F7" s="13" t="n">
        <f aca="false">C7/D7</f>
        <v>3.68</v>
      </c>
      <c r="G7" s="11" t="n">
        <v>0.25</v>
      </c>
      <c r="H7" s="17" t="n">
        <f aca="false">F7*G7</f>
        <v>0.92</v>
      </c>
    </row>
    <row r="8" customFormat="false" ht="15" hidden="false" customHeight="false" outlineLevel="0" collapsed="false">
      <c r="A8" s="10" t="s">
        <v>41</v>
      </c>
      <c r="B8" s="10" t="s">
        <v>40</v>
      </c>
      <c r="C8" s="13" t="n">
        <v>5.2</v>
      </c>
      <c r="D8" s="10" t="n">
        <v>1</v>
      </c>
      <c r="E8" s="10" t="s">
        <v>42</v>
      </c>
      <c r="F8" s="13" t="n">
        <f aca="false">C8/D8</f>
        <v>5.2</v>
      </c>
      <c r="G8" s="11" t="n">
        <v>0.25</v>
      </c>
      <c r="H8" s="17" t="n">
        <f aca="false">F8*G8</f>
        <v>1.3</v>
      </c>
    </row>
    <row r="9" customFormat="false" ht="15" hidden="false" customHeight="false" outlineLevel="0" collapsed="false">
      <c r="A9" s="10" t="s">
        <v>44</v>
      </c>
      <c r="B9" s="10" t="s">
        <v>40</v>
      </c>
      <c r="C9" s="13" t="n">
        <v>12.6</v>
      </c>
      <c r="D9" s="10" t="n">
        <v>1</v>
      </c>
      <c r="E9" s="10" t="s">
        <v>32</v>
      </c>
      <c r="F9" s="13" t="n">
        <f aca="false">C9/D9</f>
        <v>12.6</v>
      </c>
      <c r="G9" s="11" t="n">
        <v>0.04</v>
      </c>
      <c r="H9" s="17" t="n">
        <f aca="false">F9*G9</f>
        <v>0.504</v>
      </c>
    </row>
    <row r="10" customFormat="false" ht="15" hidden="false" customHeight="false" outlineLevel="0" collapsed="false">
      <c r="A10" s="10" t="s">
        <v>45</v>
      </c>
      <c r="B10" s="10" t="s">
        <v>36</v>
      </c>
      <c r="C10" s="13" t="n">
        <v>4.8</v>
      </c>
      <c r="D10" s="10" t="n">
        <v>1</v>
      </c>
      <c r="E10" s="10" t="s">
        <v>32</v>
      </c>
      <c r="F10" s="13" t="n">
        <f aca="false">C10/D10</f>
        <v>4.8</v>
      </c>
      <c r="G10" s="11" t="n">
        <v>0.06</v>
      </c>
      <c r="H10" s="17" t="n">
        <f aca="false">F10*G10</f>
        <v>0.288</v>
      </c>
    </row>
    <row r="11" customFormat="false" ht="15" hidden="false" customHeight="false" outlineLevel="0" collapsed="false">
      <c r="A11" s="10" t="s">
        <v>46</v>
      </c>
      <c r="B11" s="10" t="s">
        <v>36</v>
      </c>
      <c r="C11" s="13" t="n">
        <v>7.5</v>
      </c>
      <c r="D11" s="10" t="n">
        <v>3</v>
      </c>
      <c r="E11" s="10" t="s">
        <v>32</v>
      </c>
      <c r="F11" s="13" t="n">
        <f aca="false">C11/D11</f>
        <v>2.5</v>
      </c>
      <c r="G11" s="11" t="n">
        <v>0.02</v>
      </c>
      <c r="H11" s="17" t="n">
        <f aca="false">F11*G11</f>
        <v>0.05</v>
      </c>
    </row>
    <row r="12" customFormat="false" ht="15" hidden="false" customHeight="false" outlineLevel="0" collapsed="false">
      <c r="A12" s="10" t="s">
        <v>47</v>
      </c>
      <c r="B12" s="10" t="s">
        <v>36</v>
      </c>
      <c r="C12" s="13" t="n">
        <v>8.9</v>
      </c>
      <c r="D12" s="10" t="n">
        <v>24</v>
      </c>
      <c r="E12" s="10" t="s">
        <v>48</v>
      </c>
      <c r="F12" s="13" t="n">
        <f aca="false">C12/D12</f>
        <v>0.370833333333333</v>
      </c>
      <c r="G12" s="11" t="n">
        <v>0.1</v>
      </c>
      <c r="H12" s="17" t="n">
        <f aca="false">F12*G12</f>
        <v>0.0370833333333333</v>
      </c>
    </row>
    <row r="13" customFormat="false" ht="15" hidden="false" customHeight="false" outlineLevel="0" collapsed="false">
      <c r="A13" s="10" t="s">
        <v>50</v>
      </c>
      <c r="B13" s="10" t="s">
        <v>52</v>
      </c>
      <c r="C13" s="13" t="n">
        <v>2.5</v>
      </c>
      <c r="D13" s="10" t="n">
        <v>1</v>
      </c>
      <c r="E13" s="10" t="s">
        <v>53</v>
      </c>
      <c r="F13" s="13" t="n">
        <f aca="false">C13/D13</f>
        <v>2.5</v>
      </c>
      <c r="G13" s="11" t="n">
        <v>0.1</v>
      </c>
      <c r="H13" s="17" t="n">
        <f aca="false">F13*G13</f>
        <v>0.25</v>
      </c>
    </row>
    <row r="14" customFormat="false" ht="15" hidden="false" customHeight="false" outlineLevel="0" collapsed="false">
      <c r="A14" s="18" t="s">
        <v>77</v>
      </c>
      <c r="B14" s="18"/>
      <c r="C14" s="18"/>
      <c r="D14" s="18"/>
      <c r="E14" s="18"/>
      <c r="F14" s="18"/>
      <c r="G14" s="18"/>
      <c r="H14" s="19" t="n">
        <f aca="false">SUM(H5:H13)</f>
        <v>8.85658333333333</v>
      </c>
    </row>
    <row r="16" customFormat="false" ht="17.35" hidden="false" customHeight="false" outlineLevel="0" collapsed="false">
      <c r="A16" s="3" t="s">
        <v>78</v>
      </c>
      <c r="B16" s="20" t="n">
        <f aca="false">H14/D2</f>
        <v>0.340637820512821</v>
      </c>
    </row>
    <row r="17" customFormat="false" ht="17.35" hidden="false" customHeight="false" outlineLevel="0" collapsed="false">
      <c r="A17" s="3" t="s">
        <v>79</v>
      </c>
      <c r="B17" s="21" t="n">
        <f aca="false">D2-H14</f>
        <v>17.1434166666667</v>
      </c>
    </row>
    <row r="18" customFormat="false" ht="15" hidden="false" customHeight="false" outlineLevel="0" collapsed="false">
      <c r="A18" s="3" t="s">
        <v>80</v>
      </c>
      <c r="B18" s="22" t="n">
        <f aca="false">H14/F2</f>
        <v>8.85658333333333</v>
      </c>
    </row>
    <row r="21" customFormat="false" ht="30" hidden="false" customHeight="true" outlineLevel="0" collapsed="false">
      <c r="A21" s="14" t="s">
        <v>81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7" t="s">
        <v>70</v>
      </c>
      <c r="B22" s="5" t="s">
        <v>71</v>
      </c>
      <c r="C22" s="7" t="s">
        <v>72</v>
      </c>
      <c r="D22" s="15" t="n">
        <v>18</v>
      </c>
      <c r="E22" s="7" t="s">
        <v>73</v>
      </c>
      <c r="F22" s="16" t="n">
        <v>1</v>
      </c>
    </row>
    <row r="24" customFormat="false" ht="15" hidden="false" customHeight="false" outlineLevel="0" collapsed="false">
      <c r="A24" s="9" t="s">
        <v>20</v>
      </c>
      <c r="B24" s="9" t="s">
        <v>22</v>
      </c>
      <c r="C24" s="9" t="s">
        <v>25</v>
      </c>
      <c r="D24" s="9" t="s">
        <v>23</v>
      </c>
      <c r="E24" s="9" t="s">
        <v>74</v>
      </c>
      <c r="F24" s="9" t="s">
        <v>26</v>
      </c>
      <c r="G24" s="9" t="s">
        <v>75</v>
      </c>
      <c r="H24" s="9" t="s">
        <v>76</v>
      </c>
    </row>
    <row r="25" customFormat="false" ht="15" hidden="false" customHeight="false" outlineLevel="0" collapsed="false">
      <c r="A25" s="10" t="s">
        <v>54</v>
      </c>
      <c r="B25" s="10" t="s">
        <v>31</v>
      </c>
      <c r="C25" s="13" t="n">
        <v>68</v>
      </c>
      <c r="D25" s="10" t="n">
        <v>10</v>
      </c>
      <c r="E25" s="10" t="s">
        <v>32</v>
      </c>
      <c r="F25" s="13" t="n">
        <f aca="false">C25/D25</f>
        <v>6.8</v>
      </c>
      <c r="G25" s="11" t="n">
        <v>0.38</v>
      </c>
      <c r="H25" s="17" t="n">
        <f aca="false">F25*G25</f>
        <v>2.584</v>
      </c>
    </row>
    <row r="26" customFormat="false" ht="15" hidden="false" customHeight="false" outlineLevel="0" collapsed="false">
      <c r="A26" s="10" t="s">
        <v>55</v>
      </c>
      <c r="B26" s="10" t="s">
        <v>36</v>
      </c>
      <c r="C26" s="13" t="n">
        <v>4.8</v>
      </c>
      <c r="D26" s="10" t="n">
        <v>12</v>
      </c>
      <c r="E26" s="10" t="s">
        <v>56</v>
      </c>
      <c r="F26" s="13" t="n">
        <f aca="false">C26/D26</f>
        <v>0.4</v>
      </c>
      <c r="G26" s="11" t="n">
        <v>3</v>
      </c>
      <c r="H26" s="17" t="n">
        <f aca="false">F26*G26</f>
        <v>1.2</v>
      </c>
    </row>
    <row r="27" customFormat="false" ht="15" hidden="false" customHeight="false" outlineLevel="0" collapsed="false">
      <c r="A27" s="10" t="s">
        <v>57</v>
      </c>
      <c r="B27" s="10" t="s">
        <v>40</v>
      </c>
      <c r="C27" s="13" t="n">
        <v>8.5</v>
      </c>
      <c r="D27" s="10" t="n">
        <v>5</v>
      </c>
      <c r="E27" s="10" t="s">
        <v>32</v>
      </c>
      <c r="F27" s="13" t="n">
        <f aca="false">C27/D27</f>
        <v>1.7</v>
      </c>
      <c r="G27" s="11" t="n">
        <v>0.25</v>
      </c>
      <c r="H27" s="17" t="n">
        <f aca="false">F27*G27</f>
        <v>0.425</v>
      </c>
    </row>
    <row r="28" customFormat="false" ht="15" hidden="false" customHeight="false" outlineLevel="0" collapsed="false">
      <c r="A28" s="10" t="s">
        <v>58</v>
      </c>
      <c r="B28" s="10" t="s">
        <v>59</v>
      </c>
      <c r="C28" s="13" t="n">
        <v>3.2</v>
      </c>
      <c r="D28" s="10" t="n">
        <v>1</v>
      </c>
      <c r="E28" s="10" t="s">
        <v>42</v>
      </c>
      <c r="F28" s="13" t="n">
        <f aca="false">C28/D28</f>
        <v>3.2</v>
      </c>
      <c r="G28" s="11" t="n">
        <v>0.13</v>
      </c>
      <c r="H28" s="17" t="n">
        <f aca="false">F28*G28</f>
        <v>0.416</v>
      </c>
    </row>
    <row r="29" customFormat="false" ht="15" hidden="false" customHeight="false" outlineLevel="0" collapsed="false">
      <c r="A29" s="10" t="s">
        <v>50</v>
      </c>
      <c r="B29" s="10" t="s">
        <v>52</v>
      </c>
      <c r="C29" s="13" t="n">
        <v>2.5</v>
      </c>
      <c r="D29" s="10" t="n">
        <v>1</v>
      </c>
      <c r="E29" s="10" t="s">
        <v>53</v>
      </c>
      <c r="F29" s="13" t="n">
        <f aca="false">C29/D29</f>
        <v>2.5</v>
      </c>
      <c r="G29" s="11" t="n">
        <v>0.05</v>
      </c>
      <c r="H29" s="17" t="n">
        <f aca="false">F29*G29</f>
        <v>0.125</v>
      </c>
    </row>
    <row r="30" customFormat="false" ht="15" hidden="false" customHeight="false" outlineLevel="0" collapsed="false">
      <c r="A30" s="18" t="s">
        <v>77</v>
      </c>
      <c r="B30" s="18"/>
      <c r="C30" s="18"/>
      <c r="D30" s="18"/>
      <c r="E30" s="18"/>
      <c r="F30" s="18"/>
      <c r="G30" s="18"/>
      <c r="H30" s="19" t="n">
        <f aca="false">SUM(H25:H29)</f>
        <v>4.75</v>
      </c>
    </row>
    <row r="32" customFormat="false" ht="17.35" hidden="false" customHeight="false" outlineLevel="0" collapsed="false">
      <c r="A32" s="3" t="s">
        <v>78</v>
      </c>
      <c r="B32" s="23" t="n">
        <f aca="false">H30/D22</f>
        <v>0.263888888888889</v>
      </c>
    </row>
    <row r="33" customFormat="false" ht="17.35" hidden="false" customHeight="false" outlineLevel="0" collapsed="false">
      <c r="A33" s="3" t="s">
        <v>79</v>
      </c>
      <c r="B33" s="21" t="n">
        <f aca="false">D22-H30</f>
        <v>13.25</v>
      </c>
    </row>
  </sheetData>
  <mergeCells count="4">
    <mergeCell ref="A1:H1"/>
    <mergeCell ref="A14:G14"/>
    <mergeCell ref="A21:H21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322B"/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4"/>
    <col collapsed="false" customWidth="true" hidden="false" outlineLevel="0" max="7" min="7" style="0" width="16"/>
  </cols>
  <sheetData>
    <row r="1" customFormat="false" ht="36" hidden="false" customHeight="true" outlineLevel="0" collapsed="false">
      <c r="A1" s="1" t="s">
        <v>82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9" t="s">
        <v>83</v>
      </c>
      <c r="B3" s="9" t="s">
        <v>21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88</v>
      </c>
    </row>
    <row r="4" customFormat="false" ht="15" hidden="false" customHeight="false" outlineLevel="0" collapsed="false">
      <c r="A4" s="24" t="s">
        <v>89</v>
      </c>
      <c r="B4" s="25" t="s">
        <v>71</v>
      </c>
      <c r="C4" s="26" t="n">
        <f aca="false">Recipes!D2</f>
        <v>26</v>
      </c>
      <c r="D4" s="26" t="n">
        <f aca="false">Recipes!H14</f>
        <v>8.85658333333333</v>
      </c>
      <c r="E4" s="27" t="n">
        <f aca="false">IF(C4=0,"-",D4/C4)</f>
        <v>0.340637820512821</v>
      </c>
      <c r="F4" s="28" t="n">
        <f aca="false">C4-D4</f>
        <v>17.1434166666667</v>
      </c>
      <c r="G4" s="25" t="str">
        <f aca="false">IF(E4&lt;0.3,"Under Target",IF(E4&lt;0.35,"On Target","OVER TARGET"))</f>
        <v>On Target</v>
      </c>
    </row>
    <row r="5" customFormat="false" ht="15" hidden="false" customHeight="false" outlineLevel="0" collapsed="false">
      <c r="A5" s="24" t="s">
        <v>90</v>
      </c>
      <c r="B5" s="25" t="s">
        <v>71</v>
      </c>
      <c r="C5" s="26" t="n">
        <f aca="false">Recipes!D22</f>
        <v>18</v>
      </c>
      <c r="D5" s="26" t="n">
        <f aca="false">Recipes!H30</f>
        <v>4.75</v>
      </c>
      <c r="E5" s="27" t="n">
        <f aca="false">IF(C5=0,"-",D5/C5)</f>
        <v>0.263888888888889</v>
      </c>
      <c r="F5" s="28" t="n">
        <f aca="false">C5-D5</f>
        <v>13.25</v>
      </c>
      <c r="G5" s="25" t="str">
        <f aca="false">IF(E5&lt;0.3,"Under Target",IF(E5&lt;0.35,"On Target","OVER TARGET"))</f>
        <v>Under Target</v>
      </c>
    </row>
    <row r="6" customFormat="false" ht="15" hidden="false" customHeight="false" outlineLevel="0" collapsed="false">
      <c r="A6" s="29" t="s">
        <v>91</v>
      </c>
      <c r="B6" s="29"/>
      <c r="C6" s="29"/>
      <c r="D6" s="29"/>
      <c r="E6" s="29"/>
      <c r="F6" s="29"/>
      <c r="G6" s="29"/>
    </row>
    <row r="7" customFormat="false" ht="15" hidden="false" customHeight="false" outlineLevel="0" collapsed="false">
      <c r="A7" s="29"/>
      <c r="B7" s="29"/>
      <c r="C7" s="29"/>
      <c r="D7" s="29"/>
      <c r="E7" s="29"/>
      <c r="F7" s="29"/>
      <c r="G7" s="29"/>
    </row>
    <row r="8" customFormat="false" ht="15" hidden="false" customHeight="false" outlineLevel="0" collapsed="false">
      <c r="A8" s="29"/>
      <c r="B8" s="29"/>
      <c r="C8" s="29"/>
      <c r="D8" s="29"/>
      <c r="E8" s="29"/>
      <c r="F8" s="29"/>
      <c r="G8" s="29"/>
    </row>
    <row r="9" customFormat="false" ht="15" hidden="false" customHeight="false" outlineLevel="0" collapsed="false">
      <c r="A9" s="29"/>
      <c r="B9" s="29"/>
      <c r="C9" s="29"/>
      <c r="D9" s="29"/>
      <c r="E9" s="29"/>
      <c r="F9" s="29"/>
      <c r="G9" s="29"/>
    </row>
    <row r="10" customFormat="false" ht="15" hidden="false" customHeight="false" outlineLevel="0" collapsed="false">
      <c r="A10" s="29"/>
      <c r="B10" s="29"/>
      <c r="C10" s="29"/>
      <c r="D10" s="29"/>
      <c r="E10" s="29"/>
      <c r="F10" s="29"/>
      <c r="G10" s="29"/>
    </row>
    <row r="11" customFormat="false" ht="15" hidden="false" customHeight="false" outlineLevel="0" collapsed="false">
      <c r="A11" s="29"/>
      <c r="B11" s="29"/>
      <c r="C11" s="29"/>
      <c r="D11" s="29"/>
      <c r="E11" s="29"/>
      <c r="F11" s="29"/>
      <c r="G11" s="29"/>
    </row>
    <row r="12" customFormat="false" ht="15" hidden="false" customHeight="false" outlineLevel="0" collapsed="false">
      <c r="A12" s="29"/>
      <c r="B12" s="29"/>
      <c r="C12" s="29"/>
      <c r="D12" s="29"/>
      <c r="E12" s="29"/>
      <c r="F12" s="29"/>
      <c r="G12" s="29"/>
    </row>
    <row r="13" customFormat="false" ht="15" hidden="false" customHeight="false" outlineLevel="0" collapsed="false">
      <c r="A13" s="29"/>
      <c r="B13" s="29"/>
      <c r="C13" s="29"/>
      <c r="D13" s="29"/>
      <c r="E13" s="29"/>
      <c r="F13" s="29"/>
      <c r="G13" s="29"/>
    </row>
    <row r="16" customFormat="false" ht="15" hidden="false" customHeight="false" outlineLevel="0" collapsed="false">
      <c r="A16" s="2" t="s">
        <v>92</v>
      </c>
    </row>
    <row r="17" customFormat="false" ht="19.7" hidden="false" customHeight="false" outlineLevel="0" collapsed="false">
      <c r="A17" s="3" t="s">
        <v>93</v>
      </c>
      <c r="B17" s="30" t="n">
        <f aca="false">AVERAGE(E4:E13)</f>
        <v>0.302263354700855</v>
      </c>
    </row>
    <row r="18" customFormat="false" ht="19.7" hidden="false" customHeight="false" outlineLevel="0" collapsed="false">
      <c r="A18" s="3" t="s">
        <v>94</v>
      </c>
      <c r="B18" s="31" t="n">
        <f aca="false">COUNTA(A4:A13)</f>
        <v>3</v>
      </c>
    </row>
    <row r="19" customFormat="false" ht="19.7" hidden="false" customHeight="false" outlineLevel="0" collapsed="false">
      <c r="A19" s="3" t="s">
        <v>95</v>
      </c>
      <c r="B19" s="32" t="n">
        <f aca="false">COUNTIF(E4:E13,"&gt;0.35")</f>
        <v>0</v>
      </c>
    </row>
    <row r="20" customFormat="false" ht="19.7" hidden="false" customHeight="false" outlineLevel="0" collapsed="false">
      <c r="A20" s="3" t="s">
        <v>96</v>
      </c>
      <c r="B20" s="33" t="n">
        <f aca="false">AVERAGE(F4:F13)</f>
        <v>15.1967083333333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9A97"/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4" t="s">
        <v>97</v>
      </c>
      <c r="B1" s="14"/>
      <c r="C1" s="14"/>
      <c r="D1" s="14"/>
      <c r="E1" s="14"/>
      <c r="F1" s="14"/>
      <c r="G1" s="14"/>
      <c r="H1" s="14"/>
    </row>
    <row r="2" customFormat="false" ht="15" hidden="false" customHeight="false" outlineLevel="0" collapsed="false">
      <c r="A2" s="7" t="s">
        <v>70</v>
      </c>
      <c r="B2" s="16" t="s">
        <v>98</v>
      </c>
      <c r="C2" s="7" t="s">
        <v>72</v>
      </c>
      <c r="D2" s="15" t="n">
        <v>0</v>
      </c>
      <c r="E2" s="7" t="s">
        <v>73</v>
      </c>
      <c r="F2" s="16" t="n">
        <v>1</v>
      </c>
    </row>
    <row r="4" customFormat="false" ht="15" hidden="false" customHeight="false" outlineLevel="0" collapsed="false">
      <c r="A4" s="9" t="s">
        <v>20</v>
      </c>
      <c r="B4" s="9" t="s">
        <v>22</v>
      </c>
      <c r="C4" s="9" t="s">
        <v>25</v>
      </c>
      <c r="D4" s="9" t="s">
        <v>23</v>
      </c>
      <c r="E4" s="9" t="s">
        <v>74</v>
      </c>
      <c r="F4" s="9" t="s">
        <v>26</v>
      </c>
      <c r="G4" s="9" t="s">
        <v>75</v>
      </c>
      <c r="H4" s="9" t="s">
        <v>76</v>
      </c>
    </row>
    <row r="5" customFormat="false" ht="15" hidden="false" customHeight="false" outlineLevel="0" collapsed="false">
      <c r="A5" s="25"/>
      <c r="B5" s="25"/>
      <c r="C5" s="34"/>
      <c r="D5" s="25"/>
      <c r="E5" s="25"/>
      <c r="F5" s="26" t="str">
        <f aca="false">IF(D5=0,"",C5/D5)</f>
        <v/>
      </c>
      <c r="G5" s="35"/>
      <c r="H5" s="36" t="str">
        <f aca="false">IF(G5="","",F5*G5)</f>
        <v/>
      </c>
    </row>
    <row r="6" customFormat="false" ht="15" hidden="false" customHeight="false" outlineLevel="0" collapsed="false">
      <c r="A6" s="25"/>
      <c r="B6" s="25"/>
      <c r="C6" s="34"/>
      <c r="D6" s="25"/>
      <c r="E6" s="25"/>
      <c r="F6" s="26" t="str">
        <f aca="false">IF(D6=0,"",C6/D6)</f>
        <v/>
      </c>
      <c r="G6" s="35"/>
      <c r="H6" s="36" t="str">
        <f aca="false">IF(G6="","",F6*G6)</f>
        <v/>
      </c>
    </row>
    <row r="7" customFormat="false" ht="15" hidden="false" customHeight="false" outlineLevel="0" collapsed="false">
      <c r="A7" s="25"/>
      <c r="B7" s="25"/>
      <c r="C7" s="34"/>
      <c r="D7" s="25"/>
      <c r="E7" s="25"/>
      <c r="F7" s="26" t="str">
        <f aca="false">IF(D7=0,"",C7/D7)</f>
        <v/>
      </c>
      <c r="G7" s="35"/>
      <c r="H7" s="36" t="str">
        <f aca="false">IF(G7="","",F7*G7)</f>
        <v/>
      </c>
    </row>
    <row r="8" customFormat="false" ht="15" hidden="false" customHeight="false" outlineLevel="0" collapsed="false">
      <c r="A8" s="25"/>
      <c r="B8" s="25"/>
      <c r="C8" s="34"/>
      <c r="D8" s="25"/>
      <c r="E8" s="25"/>
      <c r="F8" s="26" t="str">
        <f aca="false">IF(D8=0,"",C8/D8)</f>
        <v/>
      </c>
      <c r="G8" s="35"/>
      <c r="H8" s="36" t="str">
        <f aca="false">IF(G8="","",F8*G8)</f>
        <v/>
      </c>
    </row>
    <row r="9" customFormat="false" ht="15" hidden="false" customHeight="false" outlineLevel="0" collapsed="false">
      <c r="A9" s="25"/>
      <c r="B9" s="25"/>
      <c r="C9" s="34"/>
      <c r="D9" s="25"/>
      <c r="E9" s="25"/>
      <c r="F9" s="26" t="str">
        <f aca="false">IF(D9=0,"",C9/D9)</f>
        <v/>
      </c>
      <c r="G9" s="35"/>
      <c r="H9" s="36" t="str">
        <f aca="false">IF(G9="","",F9*G9)</f>
        <v/>
      </c>
    </row>
    <row r="10" customFormat="false" ht="15" hidden="false" customHeight="false" outlineLevel="0" collapsed="false">
      <c r="A10" s="25"/>
      <c r="B10" s="25"/>
      <c r="C10" s="34"/>
      <c r="D10" s="25"/>
      <c r="E10" s="25"/>
      <c r="F10" s="26" t="str">
        <f aca="false">IF(D10=0,"",C10/D10)</f>
        <v/>
      </c>
      <c r="G10" s="35"/>
      <c r="H10" s="36" t="str">
        <f aca="false">IF(G10="","",F10*G10)</f>
        <v/>
      </c>
    </row>
    <row r="11" customFormat="false" ht="15" hidden="false" customHeight="false" outlineLevel="0" collapsed="false">
      <c r="A11" s="25"/>
      <c r="B11" s="25"/>
      <c r="C11" s="34"/>
      <c r="D11" s="25"/>
      <c r="E11" s="25"/>
      <c r="F11" s="26" t="str">
        <f aca="false">IF(D11=0,"",C11/D11)</f>
        <v/>
      </c>
      <c r="G11" s="35"/>
      <c r="H11" s="36" t="str">
        <f aca="false">IF(G11="","",F11*G11)</f>
        <v/>
      </c>
    </row>
    <row r="12" customFormat="false" ht="15" hidden="false" customHeight="false" outlineLevel="0" collapsed="false">
      <c r="A12" s="25"/>
      <c r="B12" s="25"/>
      <c r="C12" s="34"/>
      <c r="D12" s="25"/>
      <c r="E12" s="25"/>
      <c r="F12" s="26" t="str">
        <f aca="false">IF(D12=0,"",C12/D12)</f>
        <v/>
      </c>
      <c r="G12" s="35"/>
      <c r="H12" s="36" t="str">
        <f aca="false">IF(G12="","",F12*G12)</f>
        <v/>
      </c>
    </row>
    <row r="13" customFormat="false" ht="15" hidden="false" customHeight="false" outlineLevel="0" collapsed="false">
      <c r="A13" s="25"/>
      <c r="B13" s="25"/>
      <c r="C13" s="34"/>
      <c r="D13" s="25"/>
      <c r="E13" s="25"/>
      <c r="F13" s="26" t="str">
        <f aca="false">IF(D13=0,"",C13/D13)</f>
        <v/>
      </c>
      <c r="G13" s="35"/>
      <c r="H13" s="36" t="str">
        <f aca="false">IF(G13="","",F13*G13)</f>
        <v/>
      </c>
    </row>
    <row r="14" customFormat="false" ht="15" hidden="false" customHeight="false" outlineLevel="0" collapsed="false">
      <c r="A14" s="25"/>
      <c r="B14" s="25"/>
      <c r="C14" s="34"/>
      <c r="D14" s="25"/>
      <c r="E14" s="25"/>
      <c r="F14" s="26" t="str">
        <f aca="false">IF(D14=0,"",C14/D14)</f>
        <v/>
      </c>
      <c r="G14" s="35"/>
      <c r="H14" s="36" t="str">
        <f aca="false">IF(G14="","",F14*G14)</f>
        <v/>
      </c>
    </row>
    <row r="15" customFormat="false" ht="15" hidden="false" customHeight="false" outlineLevel="0" collapsed="false">
      <c r="A15" s="25"/>
      <c r="B15" s="25"/>
      <c r="C15" s="34"/>
      <c r="D15" s="25"/>
      <c r="E15" s="25"/>
      <c r="F15" s="26" t="str">
        <f aca="false">IF(D15=0,"",C15/D15)</f>
        <v/>
      </c>
      <c r="G15" s="35"/>
      <c r="H15" s="36" t="str">
        <f aca="false">IF(G15="","",F15*G15)</f>
        <v/>
      </c>
    </row>
    <row r="16" customFormat="false" ht="15" hidden="false" customHeight="false" outlineLevel="0" collapsed="false">
      <c r="A16" s="25"/>
      <c r="B16" s="25"/>
      <c r="C16" s="34"/>
      <c r="D16" s="25"/>
      <c r="E16" s="25"/>
      <c r="F16" s="26" t="str">
        <f aca="false">IF(D16=0,"",C16/D16)</f>
        <v/>
      </c>
      <c r="G16" s="35"/>
      <c r="H16" s="36" t="str">
        <f aca="false">IF(G16="","",F16*G16)</f>
        <v/>
      </c>
    </row>
    <row r="17" customFormat="false" ht="15" hidden="false" customHeight="false" outlineLevel="0" collapsed="false">
      <c r="A17" s="25"/>
      <c r="B17" s="25"/>
      <c r="C17" s="34"/>
      <c r="D17" s="25"/>
      <c r="E17" s="25"/>
      <c r="F17" s="26" t="str">
        <f aca="false">IF(D17=0,"",C17/D17)</f>
        <v/>
      </c>
      <c r="G17" s="35"/>
      <c r="H17" s="36" t="str">
        <f aca="false">IF(G17="","",F17*G17)</f>
        <v/>
      </c>
    </row>
    <row r="18" customFormat="false" ht="15" hidden="false" customHeight="false" outlineLevel="0" collapsed="false">
      <c r="A18" s="25"/>
      <c r="B18" s="25"/>
      <c r="C18" s="34"/>
      <c r="D18" s="25"/>
      <c r="E18" s="25"/>
      <c r="F18" s="26" t="str">
        <f aca="false">IF(D18=0,"",C18/D18)</f>
        <v/>
      </c>
      <c r="G18" s="35"/>
      <c r="H18" s="36" t="str">
        <f aca="false">IF(G18="","",F18*G18)</f>
        <v/>
      </c>
    </row>
    <row r="19" customFormat="false" ht="15" hidden="false" customHeight="false" outlineLevel="0" collapsed="false">
      <c r="A19" s="25"/>
      <c r="B19" s="25"/>
      <c r="C19" s="34"/>
      <c r="D19" s="25"/>
      <c r="E19" s="25"/>
      <c r="F19" s="26" t="str">
        <f aca="false">IF(D19=0,"",C19/D19)</f>
        <v/>
      </c>
      <c r="G19" s="35"/>
      <c r="H19" s="36" t="str">
        <f aca="false">IF(G19="","",F19*G19)</f>
        <v/>
      </c>
    </row>
    <row r="20" customFormat="false" ht="15" hidden="false" customHeight="false" outlineLevel="0" collapsed="false">
      <c r="A20" s="25"/>
      <c r="B20" s="25"/>
      <c r="C20" s="34"/>
      <c r="D20" s="25"/>
      <c r="E20" s="25"/>
      <c r="F20" s="26" t="str">
        <f aca="false">IF(D20=0,"",C20/D20)</f>
        <v/>
      </c>
      <c r="G20" s="35"/>
      <c r="H20" s="36" t="str">
        <f aca="false">IF(G20="","",F20*G20)</f>
        <v/>
      </c>
    </row>
    <row r="21" customFormat="false" ht="15" hidden="false" customHeight="false" outlineLevel="0" collapsed="false">
      <c r="A21" s="25"/>
      <c r="B21" s="25"/>
      <c r="C21" s="34"/>
      <c r="D21" s="25"/>
      <c r="E21" s="25"/>
      <c r="F21" s="26" t="str">
        <f aca="false">IF(D21=0,"",C21/D21)</f>
        <v/>
      </c>
      <c r="G21" s="35"/>
      <c r="H21" s="36" t="str">
        <f aca="false">IF(G21="","",F21*G21)</f>
        <v/>
      </c>
    </row>
    <row r="22" customFormat="false" ht="15" hidden="false" customHeight="false" outlineLevel="0" collapsed="false">
      <c r="A22" s="25"/>
      <c r="B22" s="25"/>
      <c r="C22" s="34"/>
      <c r="D22" s="25"/>
      <c r="E22" s="25"/>
      <c r="F22" s="26" t="str">
        <f aca="false">IF(D22=0,"",C22/D22)</f>
        <v/>
      </c>
      <c r="G22" s="35"/>
      <c r="H22" s="36" t="str">
        <f aca="false">IF(G22="","",F22*G22)</f>
        <v/>
      </c>
    </row>
    <row r="23" customFormat="false" ht="15" hidden="false" customHeight="false" outlineLevel="0" collapsed="false">
      <c r="A23" s="25"/>
      <c r="B23" s="25"/>
      <c r="C23" s="34"/>
      <c r="D23" s="25"/>
      <c r="E23" s="25"/>
      <c r="F23" s="26" t="str">
        <f aca="false">IF(D23=0,"",C23/D23)</f>
        <v/>
      </c>
      <c r="G23" s="35"/>
      <c r="H23" s="36" t="str">
        <f aca="false">IF(G23="","",F23*G23)</f>
        <v/>
      </c>
    </row>
    <row r="24" customFormat="false" ht="15" hidden="false" customHeight="false" outlineLevel="0" collapsed="false">
      <c r="A24" s="25"/>
      <c r="B24" s="25"/>
      <c r="C24" s="34"/>
      <c r="D24" s="25"/>
      <c r="E24" s="25"/>
      <c r="F24" s="26" t="str">
        <f aca="false">IF(D24=0,"",C24/D24)</f>
        <v/>
      </c>
      <c r="G24" s="35"/>
      <c r="H24" s="36" t="str">
        <f aca="false">IF(G24="","",F24*G24)</f>
        <v/>
      </c>
    </row>
    <row r="25" customFormat="false" ht="15" hidden="false" customHeight="false" outlineLevel="0" collapsed="false">
      <c r="A25" s="18" t="s">
        <v>77</v>
      </c>
      <c r="B25" s="18"/>
      <c r="C25" s="18"/>
      <c r="D25" s="18"/>
      <c r="E25" s="18"/>
      <c r="F25" s="18"/>
      <c r="G25" s="18"/>
      <c r="H25" s="19" t="n">
        <f aca="false">SUM(H5:H24)</f>
        <v>0</v>
      </c>
    </row>
    <row r="27" customFormat="false" ht="17.35" hidden="false" customHeight="false" outlineLevel="0" collapsed="false">
      <c r="A27" s="3" t="s">
        <v>78</v>
      </c>
      <c r="B27" s="20" t="str">
        <f aca="false">IF(D2=0,"-",H25/D2)</f>
        <v>-</v>
      </c>
    </row>
    <row r="28" customFormat="false" ht="17.35" hidden="false" customHeight="false" outlineLevel="0" collapsed="false">
      <c r="A28" s="3" t="s">
        <v>79</v>
      </c>
      <c r="B28" s="21" t="n">
        <f aca="false">D2-H25</f>
        <v>0</v>
      </c>
    </row>
    <row r="29" customFormat="false" ht="15" hidden="false" customHeight="false" outlineLevel="0" collapsed="false">
      <c r="A29" s="3" t="s">
        <v>80</v>
      </c>
      <c r="B29" s="22" t="n">
        <f aca="false">IF(F2=0,"",H25/F2)</f>
        <v>0</v>
      </c>
    </row>
  </sheetData>
  <mergeCells count="2">
    <mergeCell ref="A1:H1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2026-03-23T01:38:09Z</dcterms:created>
  <dc:creator>openpyxl</dc:creator>
  <dc:description/>
  <dc:language>en-US</dc:language>
  <cp:lastModifiedBy/>
  <dcterms:modified xsi:type="dcterms:W3CDTF">2026-03-23T01:38:09Z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