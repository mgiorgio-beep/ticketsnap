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an Tests" sheetId="1" state="visible" r:id="rId3"/>
    <sheet name="Feature Tests" sheetId="2" state="visible" r:id="rId4"/>
    <sheet name="Dashboard" sheetId="3" state="visible" r:id="rId5"/>
  </sheets>
  <definedNames>
    <definedName function="false" hidden="true" localSheetId="0" name="_xlnm._FilterDatabase" vbProcedure="false">'Scan Tests'!$A$1:$N$31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<sst xmlns="http://schemas.openxmlformats.org/spreadsheetml/2006/main" count="80" uniqueCount="75">
  <si>
    <t xml:space="preserve">Test #</t>
  </si>
  <si>
    <t xml:space="preserve">Date</t>
  </si>
  <si>
    <t xml:space="preserve">Vendor</t>
  </si>
  <si>
    <t xml:space="preserve">Invoice Type</t>
  </si>
  <si>
    <t xml:space="preserve">Pages</t>
  </si>
  <si>
    <t xml:space="preserve">Items on Invoice</t>
  </si>
  <si>
    <t xml:space="preserve">Items Detected</t>
  </si>
  <si>
    <t xml:space="preserve">Detection %</t>
  </si>
  <si>
    <t xml:space="preserve">Prices Correct?</t>
  </si>
  <si>
    <t xml:space="preserve">Total Match?</t>
  </si>
  <si>
    <t xml:space="preserve">Math Gap ($)</t>
  </si>
  <si>
    <t xml:space="preserve">Edits Needed</t>
  </si>
  <si>
    <t xml:space="preserve">Result</t>
  </si>
  <si>
    <t xml:space="preserve">Notes</t>
  </si>
  <si>
    <t xml:space="preserve">Legend:</t>
  </si>
  <si>
    <t xml:space="preserve">PASS = all items + prices correct</t>
  </si>
  <si>
    <t xml:space="preserve">PARTIAL = items right, some prices off</t>
  </si>
  <si>
    <t xml:space="preserve">FAIL = missing items or major errors</t>
  </si>
  <si>
    <t xml:space="preserve">Feature / Test Case</t>
  </si>
  <si>
    <t xml:space="preserve">Status</t>
  </si>
  <si>
    <t xml:space="preserve">Date Tested</t>
  </si>
  <si>
    <t xml:space="preserve">Issue Found</t>
  </si>
  <si>
    <t xml:space="preserve">SCANNING</t>
  </si>
  <si>
    <t xml:space="preserve">Single image (camera)</t>
  </si>
  <si>
    <t xml:space="preserve">Single image (gallery)</t>
  </si>
  <si>
    <t xml:space="preserve">Single PDF upload</t>
  </si>
  <si>
    <t xml:space="preserve">Multi-page (2 images)</t>
  </si>
  <si>
    <t xml:space="preserve">Multi-page (3+ images)</t>
  </si>
  <si>
    <t xml:space="preserve">Multi-page PDF</t>
  </si>
  <si>
    <t xml:space="preserve">Landscape invoice photo</t>
  </si>
  <si>
    <t xml:space="preserve">Low-light / blurry photo</t>
  </si>
  <si>
    <t xml:space="preserve">RESULTS &amp; EDITING</t>
  </si>
  <si>
    <t xml:space="preserve">Tap item to edit</t>
  </si>
  <si>
    <t xml:space="preserve">Change quantity</t>
  </si>
  <si>
    <t xml:space="preserve">Change unit price</t>
  </si>
  <si>
    <t xml:space="preserve">Change total price</t>
  </si>
  <si>
    <t xml:space="preserve">Totals recalculate after edit</t>
  </si>
  <si>
    <t xml:space="preserve">Math banner updates after edit</t>
  </si>
  <si>
    <t xml:space="preserve">Hero total updates after edit</t>
  </si>
  <si>
    <t xml:space="preserve">EXPORT</t>
  </si>
  <si>
    <t xml:space="preserve">CSV download</t>
  </si>
  <si>
    <t xml:space="preserve">JSON copy to clipboard</t>
  </si>
  <si>
    <t xml:space="preserve">Push to Notion</t>
  </si>
  <si>
    <t xml:space="preserve">NAVIGATION &amp; UI</t>
  </si>
  <si>
    <t xml:space="preserve">Cancel button clears selection</t>
  </si>
  <si>
    <t xml:space="preserve">Cancel during scan processing</t>
  </si>
  <si>
    <t xml:space="preserve">Rescan same invoice</t>
  </si>
  <si>
    <t xml:space="preserve">New invoice button</t>
  </si>
  <si>
    <t xml:space="preserve">History shows past scans</t>
  </si>
  <si>
    <t xml:space="preserve">Settings shows plan/usage</t>
  </si>
  <si>
    <t xml:space="preserve">Tab bar navigation</t>
  </si>
  <si>
    <t xml:space="preserve">MULTI-VENDOR</t>
  </si>
  <si>
    <t xml:space="preserve">Artignetti (liquor)</t>
  </si>
  <si>
    <t xml:space="preserve">Sysco (food service)</t>
  </si>
  <si>
    <t xml:space="preserve">US Foods</t>
  </si>
  <si>
    <t xml:space="preserve">Restaurant Depot</t>
  </si>
  <si>
    <t xml:space="preserve">Southern Glazer's (wine/spirits)</t>
  </si>
  <si>
    <t xml:space="preserve">Performance Foodservice</t>
  </si>
  <si>
    <t xml:space="preserve">Other vendor: ___________</t>
  </si>
  <si>
    <t xml:space="preserve">TicketSnap Test Dashboard</t>
  </si>
  <si>
    <t xml:space="preserve">Total Scans Run</t>
  </si>
  <si>
    <t xml:space="preserve">Pass Rate</t>
  </si>
  <si>
    <t xml:space="preserve">Avg Detection %</t>
  </si>
  <si>
    <t xml:space="preserve">Avg Edits Needed</t>
  </si>
  <si>
    <t xml:space="preserve">Features Passed</t>
  </si>
  <si>
    <t xml:space="preserve">Features Failed</t>
  </si>
  <si>
    <t xml:space="preserve">Features Untested</t>
  </si>
  <si>
    <t xml:space="preserve">Vendor Breakdown</t>
  </si>
  <si>
    <t xml:space="preserve">Scans</t>
  </si>
  <si>
    <t xml:space="preserve">Avg Detection</t>
  </si>
  <si>
    <t xml:space="preserve">Avg Edits</t>
  </si>
  <si>
    <t xml:space="preserve">Artignetti</t>
  </si>
  <si>
    <t xml:space="preserve">Sysco</t>
  </si>
  <si>
    <t xml:space="preserve">Southern Glazer's</t>
  </si>
  <si>
    <t xml:space="preserve">Performance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</si>
</sst>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28A745"/>
      <name val="Arial"/>
      <family val="0"/>
      <charset val="1"/>
    </font>
    <font>
      <sz val="10"/>
      <color rgb="FFFFC107"/>
      <name val="Arial"/>
      <family val="0"/>
      <charset val="1"/>
    </font>
    <font>
      <sz val="10"/>
      <color rgb="FFDC3545"/>
      <name val="Arial"/>
      <family val="0"/>
      <charset val="1"/>
    </font>
    <font>
      <b val="true"/>
      <sz val="11"/>
      <color rgb="FF0A84FF"/>
      <name val="Arial"/>
      <family val="0"/>
      <charset val="1"/>
    </font>
    <font>
      <b val="true"/>
      <sz val="16"/>
      <name val="Arial"/>
      <family val="0"/>
      <charset val="1"/>
    </font>
    <font>
      <sz val="12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1C1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C1C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DC3545"/>
      <rgbColor rgb="FFFFFFCC"/>
      <rgbColor rgb="FFCCFFFF"/>
      <rgbColor rgb="FF660066"/>
      <rgbColor rgb="FFFF8080"/>
      <rgbColor rgb="FF0A84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0D158"/>
      <rgbColor rgb="FF99CC00"/>
      <rgbColor rgb="FFFFC107"/>
      <rgbColor rgb="FFFF9F0A"/>
      <rgbColor rgb="FFFF6600"/>
      <rgbColor rgb="FF666699"/>
      <rgbColor rgb="FF969696"/>
      <rgbColor rgb="FF003366"/>
      <rgbColor rgb="FF28A745"/>
      <rgbColor rgb="FF003300"/>
      <rgbColor rgb="FF333300"/>
      <rgbColor rgb="FF993300"/>
      <rgbColor rgb="FF993366"/>
      <rgbColor rgb="FF333399"/>
      <rgbColor rgb="FF1C1C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84FF"/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3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/>
      <c r="C2" s="2"/>
      <c r="D2" s="2"/>
      <c r="E2" s="2"/>
      <c r="F2" s="2"/>
      <c r="G2" s="2"/>
      <c r="H2" s="3" t="str">
        <f aca="false">IF(F2="","",G2/F2)</f>
        <v/>
      </c>
      <c r="I2" s="2"/>
      <c r="J2" s="2"/>
      <c r="K2" s="2"/>
      <c r="L2" s="2"/>
      <c r="M2" s="2"/>
      <c r="N2" s="4"/>
    </row>
    <row r="3" customFormat="false" ht="15" hidden="false" customHeight="false" outlineLevel="0" collapsed="false">
      <c r="A3" s="2" t="n">
        <v>2</v>
      </c>
      <c r="B3" s="2"/>
      <c r="C3" s="2"/>
      <c r="D3" s="2"/>
      <c r="E3" s="2"/>
      <c r="F3" s="2"/>
      <c r="G3" s="2"/>
      <c r="H3" s="3" t="str">
        <f aca="false">IF(F3="","",G3/F3)</f>
        <v/>
      </c>
      <c r="I3" s="2"/>
      <c r="J3" s="2"/>
      <c r="K3" s="2"/>
      <c r="L3" s="2"/>
      <c r="M3" s="2"/>
      <c r="N3" s="4"/>
    </row>
    <row r="4" customFormat="false" ht="15" hidden="false" customHeight="false" outlineLevel="0" collapsed="false">
      <c r="A4" s="2" t="n">
        <v>3</v>
      </c>
      <c r="B4" s="2"/>
      <c r="C4" s="2"/>
      <c r="D4" s="2"/>
      <c r="E4" s="2"/>
      <c r="F4" s="2"/>
      <c r="G4" s="2"/>
      <c r="H4" s="3" t="str">
        <f aca="false">IF(F4="","",G4/F4)</f>
        <v/>
      </c>
      <c r="I4" s="2"/>
      <c r="J4" s="2"/>
      <c r="K4" s="2"/>
      <c r="L4" s="2"/>
      <c r="M4" s="2"/>
      <c r="N4" s="4"/>
    </row>
    <row r="5" customFormat="false" ht="15" hidden="false" customHeight="false" outlineLevel="0" collapsed="false">
      <c r="A5" s="2" t="n">
        <v>4</v>
      </c>
      <c r="B5" s="2"/>
      <c r="C5" s="2"/>
      <c r="D5" s="2"/>
      <c r="E5" s="2"/>
      <c r="F5" s="2"/>
      <c r="G5" s="2"/>
      <c r="H5" s="3" t="str">
        <f aca="false">IF(F5="","",G5/F5)</f>
        <v/>
      </c>
      <c r="I5" s="2"/>
      <c r="J5" s="2"/>
      <c r="K5" s="2"/>
      <c r="L5" s="2"/>
      <c r="M5" s="2"/>
      <c r="N5" s="4"/>
    </row>
    <row r="6" customFormat="false" ht="15" hidden="false" customHeight="false" outlineLevel="0" collapsed="false">
      <c r="A6" s="2" t="n">
        <v>5</v>
      </c>
      <c r="B6" s="2"/>
      <c r="C6" s="2"/>
      <c r="D6" s="2"/>
      <c r="E6" s="2"/>
      <c r="F6" s="2"/>
      <c r="G6" s="2"/>
      <c r="H6" s="3" t="str">
        <f aca="false">IF(F6="","",G6/F6)</f>
        <v/>
      </c>
      <c r="I6" s="2"/>
      <c r="J6" s="2"/>
      <c r="K6" s="2"/>
      <c r="L6" s="2"/>
      <c r="M6" s="2"/>
      <c r="N6" s="4"/>
    </row>
    <row r="7" customFormat="false" ht="15" hidden="false" customHeight="false" outlineLevel="0" collapsed="false">
      <c r="A7" s="2" t="n">
        <v>6</v>
      </c>
      <c r="B7" s="2"/>
      <c r="C7" s="2"/>
      <c r="D7" s="2"/>
      <c r="E7" s="2"/>
      <c r="F7" s="2"/>
      <c r="G7" s="2"/>
      <c r="H7" s="3" t="str">
        <f aca="false">IF(F7="","",G7/F7)</f>
        <v/>
      </c>
      <c r="I7" s="2"/>
      <c r="J7" s="2"/>
      <c r="K7" s="2"/>
      <c r="L7" s="2"/>
      <c r="M7" s="2"/>
      <c r="N7" s="4"/>
    </row>
    <row r="8" customFormat="false" ht="15" hidden="false" customHeight="false" outlineLevel="0" collapsed="false">
      <c r="A8" s="2" t="n">
        <v>7</v>
      </c>
      <c r="B8" s="2"/>
      <c r="C8" s="2"/>
      <c r="D8" s="2"/>
      <c r="E8" s="2"/>
      <c r="F8" s="2"/>
      <c r="G8" s="2"/>
      <c r="H8" s="3" t="str">
        <f aca="false">IF(F8="","",G8/F8)</f>
        <v/>
      </c>
      <c r="I8" s="2"/>
      <c r="J8" s="2"/>
      <c r="K8" s="2"/>
      <c r="L8" s="2"/>
      <c r="M8" s="2"/>
      <c r="N8" s="4"/>
    </row>
    <row r="9" customFormat="false" ht="15" hidden="false" customHeight="false" outlineLevel="0" collapsed="false">
      <c r="A9" s="2" t="n">
        <v>8</v>
      </c>
      <c r="B9" s="2"/>
      <c r="C9" s="2"/>
      <c r="D9" s="2"/>
      <c r="E9" s="2"/>
      <c r="F9" s="2"/>
      <c r="G9" s="2"/>
      <c r="H9" s="3" t="str">
        <f aca="false">IF(F9="","",G9/F9)</f>
        <v/>
      </c>
      <c r="I9" s="2"/>
      <c r="J9" s="2"/>
      <c r="K9" s="2"/>
      <c r="L9" s="2"/>
      <c r="M9" s="2"/>
      <c r="N9" s="4"/>
    </row>
    <row r="10" customFormat="false" ht="15" hidden="false" customHeight="false" outlineLevel="0" collapsed="false">
      <c r="A10" s="2" t="n">
        <v>9</v>
      </c>
      <c r="B10" s="2"/>
      <c r="C10" s="2"/>
      <c r="D10" s="2"/>
      <c r="E10" s="2"/>
      <c r="F10" s="2"/>
      <c r="G10" s="2"/>
      <c r="H10" s="3" t="str">
        <f aca="false">IF(F10="","",G10/F10)</f>
        <v/>
      </c>
      <c r="I10" s="2"/>
      <c r="J10" s="2"/>
      <c r="K10" s="2"/>
      <c r="L10" s="2"/>
      <c r="M10" s="2"/>
      <c r="N10" s="4"/>
    </row>
    <row r="11" customFormat="false" ht="15" hidden="false" customHeight="false" outlineLevel="0" collapsed="false">
      <c r="A11" s="2" t="n">
        <v>10</v>
      </c>
      <c r="B11" s="2"/>
      <c r="C11" s="2"/>
      <c r="D11" s="2"/>
      <c r="E11" s="2"/>
      <c r="F11" s="2"/>
      <c r="G11" s="2"/>
      <c r="H11" s="3" t="str">
        <f aca="false">IF(F11="","",G11/F11)</f>
        <v/>
      </c>
      <c r="I11" s="2"/>
      <c r="J11" s="2"/>
      <c r="K11" s="2"/>
      <c r="L11" s="2"/>
      <c r="M11" s="2"/>
      <c r="N11" s="4"/>
    </row>
    <row r="12" customFormat="false" ht="15" hidden="false" customHeight="false" outlineLevel="0" collapsed="false">
      <c r="A12" s="2" t="n">
        <v>11</v>
      </c>
      <c r="B12" s="2"/>
      <c r="C12" s="2"/>
      <c r="D12" s="2"/>
      <c r="E12" s="2"/>
      <c r="F12" s="2"/>
      <c r="G12" s="2"/>
      <c r="H12" s="3" t="str">
        <f aca="false">IF(F12="","",G12/F12)</f>
        <v/>
      </c>
      <c r="I12" s="2"/>
      <c r="J12" s="2"/>
      <c r="K12" s="2"/>
      <c r="L12" s="2"/>
      <c r="M12" s="2"/>
      <c r="N12" s="4"/>
    </row>
    <row r="13" customFormat="false" ht="15" hidden="false" customHeight="false" outlineLevel="0" collapsed="false">
      <c r="A13" s="2" t="n">
        <v>12</v>
      </c>
      <c r="B13" s="2"/>
      <c r="C13" s="2"/>
      <c r="D13" s="2"/>
      <c r="E13" s="2"/>
      <c r="F13" s="2"/>
      <c r="G13" s="2"/>
      <c r="H13" s="3" t="str">
        <f aca="false">IF(F13="","",G13/F13)</f>
        <v/>
      </c>
      <c r="I13" s="2"/>
      <c r="J13" s="2"/>
      <c r="K13" s="2"/>
      <c r="L13" s="2"/>
      <c r="M13" s="2"/>
      <c r="N13" s="4"/>
    </row>
    <row r="14" customFormat="false" ht="15" hidden="false" customHeight="false" outlineLevel="0" collapsed="false">
      <c r="A14" s="2" t="n">
        <v>13</v>
      </c>
      <c r="B14" s="2"/>
      <c r="C14" s="2"/>
      <c r="D14" s="2"/>
      <c r="E14" s="2"/>
      <c r="F14" s="2"/>
      <c r="G14" s="2"/>
      <c r="H14" s="3" t="str">
        <f aca="false">IF(F14="","",G14/F14)</f>
        <v/>
      </c>
      <c r="I14" s="2"/>
      <c r="J14" s="2"/>
      <c r="K14" s="2"/>
      <c r="L14" s="2"/>
      <c r="M14" s="2"/>
      <c r="N14" s="4"/>
    </row>
    <row r="15" customFormat="false" ht="15" hidden="false" customHeight="false" outlineLevel="0" collapsed="false">
      <c r="A15" s="2" t="n">
        <v>14</v>
      </c>
      <c r="B15" s="2"/>
      <c r="C15" s="2"/>
      <c r="D15" s="2"/>
      <c r="E15" s="2"/>
      <c r="F15" s="2"/>
      <c r="G15" s="2"/>
      <c r="H15" s="3" t="str">
        <f aca="false">IF(F15="","",G15/F15)</f>
        <v/>
      </c>
      <c r="I15" s="2"/>
      <c r="J15" s="2"/>
      <c r="K15" s="2"/>
      <c r="L15" s="2"/>
      <c r="M15" s="2"/>
      <c r="N15" s="4"/>
    </row>
    <row r="16" customFormat="false" ht="15" hidden="false" customHeight="false" outlineLevel="0" collapsed="false">
      <c r="A16" s="2" t="n">
        <v>15</v>
      </c>
      <c r="B16" s="2"/>
      <c r="C16" s="2"/>
      <c r="D16" s="2"/>
      <c r="E16" s="2"/>
      <c r="F16" s="2"/>
      <c r="G16" s="2"/>
      <c r="H16" s="3" t="str">
        <f aca="false">IF(F16="","",G16/F16)</f>
        <v/>
      </c>
      <c r="I16" s="2"/>
      <c r="J16" s="2"/>
      <c r="K16" s="2"/>
      <c r="L16" s="2"/>
      <c r="M16" s="2"/>
      <c r="N16" s="4"/>
    </row>
    <row r="17" customFormat="false" ht="15" hidden="false" customHeight="false" outlineLevel="0" collapsed="false">
      <c r="A17" s="2" t="n">
        <v>16</v>
      </c>
      <c r="B17" s="2"/>
      <c r="C17" s="2"/>
      <c r="D17" s="2"/>
      <c r="E17" s="2"/>
      <c r="F17" s="2"/>
      <c r="G17" s="2"/>
      <c r="H17" s="3" t="str">
        <f aca="false">IF(F17="","",G17/F17)</f>
        <v/>
      </c>
      <c r="I17" s="2"/>
      <c r="J17" s="2"/>
      <c r="K17" s="2"/>
      <c r="L17" s="2"/>
      <c r="M17" s="2"/>
      <c r="N17" s="4"/>
    </row>
    <row r="18" customFormat="false" ht="15" hidden="false" customHeight="false" outlineLevel="0" collapsed="false">
      <c r="A18" s="2" t="n">
        <v>17</v>
      </c>
      <c r="B18" s="2"/>
      <c r="C18" s="2"/>
      <c r="D18" s="2"/>
      <c r="E18" s="2"/>
      <c r="F18" s="2"/>
      <c r="G18" s="2"/>
      <c r="H18" s="3" t="str">
        <f aca="false">IF(F18="","",G18/F18)</f>
        <v/>
      </c>
      <c r="I18" s="2"/>
      <c r="J18" s="2"/>
      <c r="K18" s="2"/>
      <c r="L18" s="2"/>
      <c r="M18" s="2"/>
      <c r="N18" s="4"/>
    </row>
    <row r="19" customFormat="false" ht="15" hidden="false" customHeight="false" outlineLevel="0" collapsed="false">
      <c r="A19" s="2" t="n">
        <v>18</v>
      </c>
      <c r="B19" s="2"/>
      <c r="C19" s="2"/>
      <c r="D19" s="2"/>
      <c r="E19" s="2"/>
      <c r="F19" s="2"/>
      <c r="G19" s="2"/>
      <c r="H19" s="3" t="str">
        <f aca="false">IF(F19="","",G19/F19)</f>
        <v/>
      </c>
      <c r="I19" s="2"/>
      <c r="J19" s="2"/>
      <c r="K19" s="2"/>
      <c r="L19" s="2"/>
      <c r="M19" s="2"/>
      <c r="N19" s="4"/>
    </row>
    <row r="20" customFormat="false" ht="15" hidden="false" customHeight="false" outlineLevel="0" collapsed="false">
      <c r="A20" s="2" t="n">
        <v>19</v>
      </c>
      <c r="B20" s="2"/>
      <c r="C20" s="2"/>
      <c r="D20" s="2"/>
      <c r="E20" s="2"/>
      <c r="F20" s="2"/>
      <c r="G20" s="2"/>
      <c r="H20" s="3" t="str">
        <f aca="false">IF(F20="","",G20/F20)</f>
        <v/>
      </c>
      <c r="I20" s="2"/>
      <c r="J20" s="2"/>
      <c r="K20" s="2"/>
      <c r="L20" s="2"/>
      <c r="M20" s="2"/>
      <c r="N20" s="4"/>
    </row>
    <row r="21" customFormat="false" ht="15" hidden="false" customHeight="false" outlineLevel="0" collapsed="false">
      <c r="A21" s="2" t="n">
        <v>20</v>
      </c>
      <c r="B21" s="2"/>
      <c r="C21" s="2"/>
      <c r="D21" s="2"/>
      <c r="E21" s="2"/>
      <c r="F21" s="2"/>
      <c r="G21" s="2"/>
      <c r="H21" s="3" t="str">
        <f aca="false">IF(F21="","",G21/F21)</f>
        <v/>
      </c>
      <c r="I21" s="2"/>
      <c r="J21" s="2"/>
      <c r="K21" s="2"/>
      <c r="L21" s="2"/>
      <c r="M21" s="2"/>
      <c r="N21" s="4"/>
    </row>
    <row r="22" customFormat="false" ht="15" hidden="false" customHeight="false" outlineLevel="0" collapsed="false">
      <c r="A22" s="2" t="n">
        <v>21</v>
      </c>
      <c r="B22" s="2"/>
      <c r="C22" s="2"/>
      <c r="D22" s="2"/>
      <c r="E22" s="2"/>
      <c r="F22" s="2"/>
      <c r="G22" s="2"/>
      <c r="H22" s="3" t="str">
        <f aca="false">IF(F22="","",G22/F22)</f>
        <v/>
      </c>
      <c r="I22" s="2"/>
      <c r="J22" s="2"/>
      <c r="K22" s="2"/>
      <c r="L22" s="2"/>
      <c r="M22" s="2"/>
      <c r="N22" s="4"/>
    </row>
    <row r="23" customFormat="false" ht="15" hidden="false" customHeight="false" outlineLevel="0" collapsed="false">
      <c r="A23" s="2" t="n">
        <v>22</v>
      </c>
      <c r="B23" s="2"/>
      <c r="C23" s="2"/>
      <c r="D23" s="2"/>
      <c r="E23" s="2"/>
      <c r="F23" s="2"/>
      <c r="G23" s="2"/>
      <c r="H23" s="3" t="str">
        <f aca="false">IF(F23="","",G23/F23)</f>
        <v/>
      </c>
      <c r="I23" s="2"/>
      <c r="J23" s="2"/>
      <c r="K23" s="2"/>
      <c r="L23" s="2"/>
      <c r="M23" s="2"/>
      <c r="N23" s="4"/>
    </row>
    <row r="24" customFormat="false" ht="15" hidden="false" customHeight="false" outlineLevel="0" collapsed="false">
      <c r="A24" s="2" t="n">
        <v>23</v>
      </c>
      <c r="B24" s="2"/>
      <c r="C24" s="2"/>
      <c r="D24" s="2"/>
      <c r="E24" s="2"/>
      <c r="F24" s="2"/>
      <c r="G24" s="2"/>
      <c r="H24" s="3" t="str">
        <f aca="false">IF(F24="","",G24/F24)</f>
        <v/>
      </c>
      <c r="I24" s="2"/>
      <c r="J24" s="2"/>
      <c r="K24" s="2"/>
      <c r="L24" s="2"/>
      <c r="M24" s="2"/>
      <c r="N24" s="4"/>
    </row>
    <row r="25" customFormat="false" ht="15" hidden="false" customHeight="false" outlineLevel="0" collapsed="false">
      <c r="A25" s="2" t="n">
        <v>24</v>
      </c>
      <c r="B25" s="2"/>
      <c r="C25" s="2"/>
      <c r="D25" s="2"/>
      <c r="E25" s="2"/>
      <c r="F25" s="2"/>
      <c r="G25" s="2"/>
      <c r="H25" s="3" t="str">
        <f aca="false">IF(F25="","",G25/F25)</f>
        <v/>
      </c>
      <c r="I25" s="2"/>
      <c r="J25" s="2"/>
      <c r="K25" s="2"/>
      <c r="L25" s="2"/>
      <c r="M25" s="2"/>
      <c r="N25" s="4"/>
    </row>
    <row r="26" customFormat="false" ht="15" hidden="false" customHeight="false" outlineLevel="0" collapsed="false">
      <c r="A26" s="2" t="n">
        <v>25</v>
      </c>
      <c r="B26" s="2"/>
      <c r="C26" s="2"/>
      <c r="D26" s="2"/>
      <c r="E26" s="2"/>
      <c r="F26" s="2"/>
      <c r="G26" s="2"/>
      <c r="H26" s="3" t="str">
        <f aca="false">IF(F26="","",G26/F26)</f>
        <v/>
      </c>
      <c r="I26" s="2"/>
      <c r="J26" s="2"/>
      <c r="K26" s="2"/>
      <c r="L26" s="2"/>
      <c r="M26" s="2"/>
      <c r="N26" s="4"/>
    </row>
    <row r="27" customFormat="false" ht="15" hidden="false" customHeight="false" outlineLevel="0" collapsed="false">
      <c r="A27" s="2" t="n">
        <v>26</v>
      </c>
      <c r="B27" s="2"/>
      <c r="C27" s="2"/>
      <c r="D27" s="2"/>
      <c r="E27" s="2"/>
      <c r="F27" s="2"/>
      <c r="G27" s="2"/>
      <c r="H27" s="3" t="str">
        <f aca="false">IF(F27="","",G27/F27)</f>
        <v/>
      </c>
      <c r="I27" s="2"/>
      <c r="J27" s="2"/>
      <c r="K27" s="2"/>
      <c r="L27" s="2"/>
      <c r="M27" s="2"/>
      <c r="N27" s="4"/>
    </row>
    <row r="28" customFormat="false" ht="15" hidden="false" customHeight="false" outlineLevel="0" collapsed="false">
      <c r="A28" s="2" t="n">
        <v>27</v>
      </c>
      <c r="B28" s="2"/>
      <c r="C28" s="2"/>
      <c r="D28" s="2"/>
      <c r="E28" s="2"/>
      <c r="F28" s="2"/>
      <c r="G28" s="2"/>
      <c r="H28" s="3" t="str">
        <f aca="false">IF(F28="","",G28/F28)</f>
        <v/>
      </c>
      <c r="I28" s="2"/>
      <c r="J28" s="2"/>
      <c r="K28" s="2"/>
      <c r="L28" s="2"/>
      <c r="M28" s="2"/>
      <c r="N28" s="4"/>
    </row>
    <row r="29" customFormat="false" ht="15" hidden="false" customHeight="false" outlineLevel="0" collapsed="false">
      <c r="A29" s="2" t="n">
        <v>28</v>
      </c>
      <c r="B29" s="2"/>
      <c r="C29" s="2"/>
      <c r="D29" s="2"/>
      <c r="E29" s="2"/>
      <c r="F29" s="2"/>
      <c r="G29" s="2"/>
      <c r="H29" s="3" t="str">
        <f aca="false">IF(F29="","",G29/F29)</f>
        <v/>
      </c>
      <c r="I29" s="2"/>
      <c r="J29" s="2"/>
      <c r="K29" s="2"/>
      <c r="L29" s="2"/>
      <c r="M29" s="2"/>
      <c r="N29" s="4"/>
    </row>
    <row r="30" customFormat="false" ht="15" hidden="false" customHeight="false" outlineLevel="0" collapsed="false">
      <c r="A30" s="2" t="n">
        <v>29</v>
      </c>
      <c r="B30" s="2"/>
      <c r="C30" s="2"/>
      <c r="D30" s="2"/>
      <c r="E30" s="2"/>
      <c r="F30" s="2"/>
      <c r="G30" s="2"/>
      <c r="H30" s="3" t="str">
        <f aca="false">IF(F30="","",G30/F30)</f>
        <v/>
      </c>
      <c r="I30" s="2"/>
      <c r="J30" s="2"/>
      <c r="K30" s="2"/>
      <c r="L30" s="2"/>
      <c r="M30" s="2"/>
      <c r="N30" s="4"/>
    </row>
    <row r="31" customFormat="false" ht="15" hidden="false" customHeight="false" outlineLevel="0" collapsed="false">
      <c r="A31" s="2" t="n">
        <v>30</v>
      </c>
      <c r="B31" s="2"/>
      <c r="C31" s="2"/>
      <c r="D31" s="2"/>
      <c r="E31" s="2"/>
      <c r="F31" s="2"/>
      <c r="G31" s="2"/>
      <c r="H31" s="3" t="str">
        <f aca="false">IF(F31="","",G31/F31)</f>
        <v/>
      </c>
      <c r="I31" s="2"/>
      <c r="J31" s="2"/>
      <c r="K31" s="2"/>
      <c r="L31" s="2"/>
      <c r="M31" s="2"/>
      <c r="N31" s="4"/>
    </row>
    <row r="33" customFormat="false" ht="15" hidden="false" customHeight="false" outlineLevel="0" collapsed="false">
      <c r="A33" s="5" t="s">
        <v>14</v>
      </c>
      <c r="B33" s="6" t="s">
        <v>15</v>
      </c>
      <c r="E33" s="7" t="s">
        <v>16</v>
      </c>
      <c r="I33" s="8" t="s">
        <v>17</v>
      </c>
    </row>
  </sheetData>
  <autoFilter ref="A1:N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D158"/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13</v>
      </c>
    </row>
    <row r="2" customFormat="false" ht="15" hidden="false" customHeight="false" outlineLevel="0" collapsed="false">
      <c r="A2" s="9" t="s">
        <v>22</v>
      </c>
      <c r="B2" s="2"/>
      <c r="C2" s="2"/>
      <c r="D2" s="4"/>
      <c r="E2" s="4"/>
    </row>
    <row r="3" customFormat="false" ht="15" hidden="false" customHeight="false" outlineLevel="0" collapsed="false">
      <c r="A3" s="4" t="s">
        <v>23</v>
      </c>
      <c r="B3" s="2"/>
      <c r="C3" s="2"/>
      <c r="D3" s="4"/>
      <c r="E3" s="4"/>
    </row>
    <row r="4" customFormat="false" ht="15" hidden="false" customHeight="false" outlineLevel="0" collapsed="false">
      <c r="A4" s="4" t="s">
        <v>24</v>
      </c>
      <c r="B4" s="2"/>
      <c r="C4" s="2"/>
      <c r="D4" s="4"/>
      <c r="E4" s="4"/>
    </row>
    <row r="5" customFormat="false" ht="15" hidden="false" customHeight="false" outlineLevel="0" collapsed="false">
      <c r="A5" s="4" t="s">
        <v>25</v>
      </c>
      <c r="B5" s="2"/>
      <c r="C5" s="2"/>
      <c r="D5" s="4"/>
      <c r="E5" s="4"/>
    </row>
    <row r="6" customFormat="false" ht="15" hidden="false" customHeight="false" outlineLevel="0" collapsed="false">
      <c r="A6" s="4" t="s">
        <v>26</v>
      </c>
      <c r="B6" s="2"/>
      <c r="C6" s="2"/>
      <c r="D6" s="4"/>
      <c r="E6" s="4"/>
    </row>
    <row r="7" customFormat="false" ht="15" hidden="false" customHeight="false" outlineLevel="0" collapsed="false">
      <c r="A7" s="4" t="s">
        <v>27</v>
      </c>
      <c r="B7" s="2"/>
      <c r="C7" s="2"/>
      <c r="D7" s="4"/>
      <c r="E7" s="4"/>
    </row>
    <row r="8" customFormat="false" ht="15" hidden="false" customHeight="false" outlineLevel="0" collapsed="false">
      <c r="A8" s="4" t="s">
        <v>28</v>
      </c>
      <c r="B8" s="2"/>
      <c r="C8" s="2"/>
      <c r="D8" s="4"/>
      <c r="E8" s="4"/>
    </row>
    <row r="9" customFormat="false" ht="15" hidden="false" customHeight="false" outlineLevel="0" collapsed="false">
      <c r="A9" s="4" t="s">
        <v>29</v>
      </c>
      <c r="B9" s="2"/>
      <c r="C9" s="2"/>
      <c r="D9" s="4"/>
      <c r="E9" s="4"/>
    </row>
    <row r="10" customFormat="false" ht="15" hidden="false" customHeight="false" outlineLevel="0" collapsed="false">
      <c r="A10" s="4" t="s">
        <v>30</v>
      </c>
      <c r="B10" s="2"/>
      <c r="C10" s="2"/>
      <c r="D10" s="4"/>
      <c r="E10" s="4"/>
    </row>
    <row r="11" customFormat="false" ht="15" hidden="false" customHeight="false" outlineLevel="0" collapsed="false">
      <c r="A11" s="4"/>
      <c r="B11" s="2"/>
      <c r="C11" s="2"/>
      <c r="D11" s="4"/>
      <c r="E11" s="4"/>
    </row>
    <row r="12" customFormat="false" ht="15" hidden="false" customHeight="false" outlineLevel="0" collapsed="false">
      <c r="A12" s="9" t="s">
        <v>31</v>
      </c>
      <c r="B12" s="2"/>
      <c r="C12" s="2"/>
      <c r="D12" s="4"/>
      <c r="E12" s="4"/>
    </row>
    <row r="13" customFormat="false" ht="15" hidden="false" customHeight="false" outlineLevel="0" collapsed="false">
      <c r="A13" s="4" t="s">
        <v>32</v>
      </c>
      <c r="B13" s="2"/>
      <c r="C13" s="2"/>
      <c r="D13" s="4"/>
      <c r="E13" s="4"/>
    </row>
    <row r="14" customFormat="false" ht="15" hidden="false" customHeight="false" outlineLevel="0" collapsed="false">
      <c r="A14" s="4" t="s">
        <v>33</v>
      </c>
      <c r="B14" s="2"/>
      <c r="C14" s="2"/>
      <c r="D14" s="4"/>
      <c r="E14" s="4"/>
    </row>
    <row r="15" customFormat="false" ht="15" hidden="false" customHeight="false" outlineLevel="0" collapsed="false">
      <c r="A15" s="4" t="s">
        <v>34</v>
      </c>
      <c r="B15" s="2"/>
      <c r="C15" s="2"/>
      <c r="D15" s="4"/>
      <c r="E15" s="4"/>
    </row>
    <row r="16" customFormat="false" ht="15" hidden="false" customHeight="false" outlineLevel="0" collapsed="false">
      <c r="A16" s="4" t="s">
        <v>35</v>
      </c>
      <c r="B16" s="2"/>
      <c r="C16" s="2"/>
      <c r="D16" s="4"/>
      <c r="E16" s="4"/>
    </row>
    <row r="17" customFormat="false" ht="15" hidden="false" customHeight="false" outlineLevel="0" collapsed="false">
      <c r="A17" s="4" t="s">
        <v>36</v>
      </c>
      <c r="B17" s="2"/>
      <c r="C17" s="2"/>
      <c r="D17" s="4"/>
      <c r="E17" s="4"/>
    </row>
    <row r="18" customFormat="false" ht="15" hidden="false" customHeight="false" outlineLevel="0" collapsed="false">
      <c r="A18" s="4" t="s">
        <v>37</v>
      </c>
      <c r="B18" s="2"/>
      <c r="C18" s="2"/>
      <c r="D18" s="4"/>
      <c r="E18" s="4"/>
    </row>
    <row r="19" customFormat="false" ht="15" hidden="false" customHeight="false" outlineLevel="0" collapsed="false">
      <c r="A19" s="4" t="s">
        <v>38</v>
      </c>
      <c r="B19" s="2"/>
      <c r="C19" s="2"/>
      <c r="D19" s="4"/>
      <c r="E19" s="4"/>
    </row>
    <row r="20" customFormat="false" ht="15" hidden="false" customHeight="false" outlineLevel="0" collapsed="false">
      <c r="A20" s="4"/>
      <c r="B20" s="2"/>
      <c r="C20" s="2"/>
      <c r="D20" s="4"/>
      <c r="E20" s="4"/>
    </row>
    <row r="21" customFormat="false" ht="15" hidden="false" customHeight="false" outlineLevel="0" collapsed="false">
      <c r="A21" s="9" t="s">
        <v>39</v>
      </c>
      <c r="B21" s="2"/>
      <c r="C21" s="2"/>
      <c r="D21" s="4"/>
      <c r="E21" s="4"/>
    </row>
    <row r="22" customFormat="false" ht="15" hidden="false" customHeight="false" outlineLevel="0" collapsed="false">
      <c r="A22" s="4" t="s">
        <v>40</v>
      </c>
      <c r="B22" s="2"/>
      <c r="C22" s="2"/>
      <c r="D22" s="4"/>
      <c r="E22" s="4"/>
    </row>
    <row r="23" customFormat="false" ht="15" hidden="false" customHeight="false" outlineLevel="0" collapsed="false">
      <c r="A23" s="4" t="s">
        <v>41</v>
      </c>
      <c r="B23" s="2"/>
      <c r="C23" s="2"/>
      <c r="D23" s="4"/>
      <c r="E23" s="4"/>
    </row>
    <row r="24" customFormat="false" ht="15" hidden="false" customHeight="false" outlineLevel="0" collapsed="false">
      <c r="A24" s="4" t="s">
        <v>42</v>
      </c>
      <c r="B24" s="2"/>
      <c r="C24" s="2"/>
      <c r="D24" s="4"/>
      <c r="E24" s="4"/>
    </row>
    <row r="25" customFormat="false" ht="15" hidden="false" customHeight="false" outlineLevel="0" collapsed="false">
      <c r="A25" s="4"/>
      <c r="B25" s="2"/>
      <c r="C25" s="2"/>
      <c r="D25" s="4"/>
      <c r="E25" s="4"/>
    </row>
    <row r="26" customFormat="false" ht="15" hidden="false" customHeight="false" outlineLevel="0" collapsed="false">
      <c r="A26" s="9" t="s">
        <v>43</v>
      </c>
      <c r="B26" s="2"/>
      <c r="C26" s="2"/>
      <c r="D26" s="4"/>
      <c r="E26" s="4"/>
    </row>
    <row r="27" customFormat="false" ht="15" hidden="false" customHeight="false" outlineLevel="0" collapsed="false">
      <c r="A27" s="4" t="s">
        <v>44</v>
      </c>
      <c r="B27" s="2"/>
      <c r="C27" s="2"/>
      <c r="D27" s="4"/>
      <c r="E27" s="4"/>
    </row>
    <row r="28" customFormat="false" ht="15" hidden="false" customHeight="false" outlineLevel="0" collapsed="false">
      <c r="A28" s="4" t="s">
        <v>45</v>
      </c>
      <c r="B28" s="2"/>
      <c r="C28" s="2"/>
      <c r="D28" s="4"/>
      <c r="E28" s="4"/>
    </row>
    <row r="29" customFormat="false" ht="15" hidden="false" customHeight="false" outlineLevel="0" collapsed="false">
      <c r="A29" s="4" t="s">
        <v>46</v>
      </c>
      <c r="B29" s="2"/>
      <c r="C29" s="2"/>
      <c r="D29" s="4"/>
      <c r="E29" s="4"/>
    </row>
    <row r="30" customFormat="false" ht="15" hidden="false" customHeight="false" outlineLevel="0" collapsed="false">
      <c r="A30" s="4" t="s">
        <v>47</v>
      </c>
      <c r="B30" s="2"/>
      <c r="C30" s="2"/>
      <c r="D30" s="4"/>
      <c r="E30" s="4"/>
    </row>
    <row r="31" customFormat="false" ht="15" hidden="false" customHeight="false" outlineLevel="0" collapsed="false">
      <c r="A31" s="4" t="s">
        <v>48</v>
      </c>
      <c r="B31" s="2"/>
      <c r="C31" s="2"/>
      <c r="D31" s="4"/>
      <c r="E31" s="4"/>
    </row>
    <row r="32" customFormat="false" ht="15" hidden="false" customHeight="false" outlineLevel="0" collapsed="false">
      <c r="A32" s="4" t="s">
        <v>49</v>
      </c>
      <c r="B32" s="2"/>
      <c r="C32" s="2"/>
      <c r="D32" s="4"/>
      <c r="E32" s="4"/>
    </row>
    <row r="33" customFormat="false" ht="15" hidden="false" customHeight="false" outlineLevel="0" collapsed="false">
      <c r="A33" s="4" t="s">
        <v>50</v>
      </c>
      <c r="B33" s="2"/>
      <c r="C33" s="2"/>
      <c r="D33" s="4"/>
      <c r="E33" s="4"/>
    </row>
    <row r="34" customFormat="false" ht="15" hidden="false" customHeight="false" outlineLevel="0" collapsed="false">
      <c r="A34" s="4"/>
      <c r="B34" s="2"/>
      <c r="C34" s="2"/>
      <c r="D34" s="4"/>
      <c r="E34" s="4"/>
    </row>
    <row r="35" customFormat="false" ht="15" hidden="false" customHeight="false" outlineLevel="0" collapsed="false">
      <c r="A35" s="9" t="s">
        <v>51</v>
      </c>
      <c r="B35" s="2"/>
      <c r="C35" s="2"/>
      <c r="D35" s="4"/>
      <c r="E35" s="4"/>
    </row>
    <row r="36" customFormat="false" ht="15" hidden="false" customHeight="false" outlineLevel="0" collapsed="false">
      <c r="A36" s="4" t="s">
        <v>52</v>
      </c>
      <c r="B36" s="2"/>
      <c r="C36" s="2"/>
      <c r="D36" s="4"/>
      <c r="E36" s="4"/>
    </row>
    <row r="37" customFormat="false" ht="15" hidden="false" customHeight="false" outlineLevel="0" collapsed="false">
      <c r="A37" s="4" t="s">
        <v>53</v>
      </c>
      <c r="B37" s="2"/>
      <c r="C37" s="2"/>
      <c r="D37" s="4"/>
      <c r="E37" s="4"/>
    </row>
    <row r="38" customFormat="false" ht="15" hidden="false" customHeight="false" outlineLevel="0" collapsed="false">
      <c r="A38" s="4" t="s">
        <v>54</v>
      </c>
      <c r="B38" s="2"/>
      <c r="C38" s="2"/>
      <c r="D38" s="4"/>
      <c r="E38" s="4"/>
    </row>
    <row r="39" customFormat="false" ht="15" hidden="false" customHeight="false" outlineLevel="0" collapsed="false">
      <c r="A39" s="4" t="s">
        <v>55</v>
      </c>
      <c r="B39" s="2"/>
      <c r="C39" s="2"/>
      <c r="D39" s="4"/>
      <c r="E39" s="4"/>
    </row>
    <row r="40" customFormat="false" ht="15" hidden="false" customHeight="false" outlineLevel="0" collapsed="false">
      <c r="A40" s="4" t="s">
        <v>56</v>
      </c>
      <c r="B40" s="2"/>
      <c r="C40" s="2"/>
      <c r="D40" s="4"/>
      <c r="E40" s="4"/>
    </row>
    <row r="41" customFormat="false" ht="15" hidden="false" customHeight="false" outlineLevel="0" collapsed="false">
      <c r="A41" s="4" t="s">
        <v>57</v>
      </c>
      <c r="B41" s="2"/>
      <c r="C41" s="2"/>
      <c r="D41" s="4"/>
      <c r="E41" s="4"/>
    </row>
    <row r="42" customFormat="false" ht="15" hidden="false" customHeight="false" outlineLevel="0" collapsed="false">
      <c r="A42" s="4" t="s">
        <v>58</v>
      </c>
      <c r="B42" s="2"/>
      <c r="C42" s="2"/>
      <c r="D42" s="4"/>
      <c r="E4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F0A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10" t="s">
        <v>59</v>
      </c>
      <c r="B1" s="10"/>
      <c r="C1" s="10"/>
      <c r="D1" s="10"/>
    </row>
    <row r="3" customFormat="false" ht="22.05" hidden="false" customHeight="false" outlineLevel="0" collapsed="false">
      <c r="A3" s="11" t="s">
        <v>60</v>
      </c>
      <c r="B3" s="12" t="n">
        <f aca="false">COUNTA('Scan Tests'!C2:C31)</f>
        <v>0</v>
      </c>
    </row>
    <row r="4" customFormat="false" ht="22.05" hidden="false" customHeight="false" outlineLevel="0" collapsed="false">
      <c r="A4" s="11" t="s">
        <v>61</v>
      </c>
      <c r="B4" s="13" t="e">
        <f aca="false">COUNTIF('Scan Tests'!M2:M31,"PASS")/COUNTA('Scan Tests'!M2:M31)</f>
        <v>#DIV/0!</v>
      </c>
    </row>
    <row r="5" customFormat="false" ht="22.05" hidden="false" customHeight="false" outlineLevel="0" collapsed="false">
      <c r="A5" s="11" t="s">
        <v>62</v>
      </c>
      <c r="B5" s="13" t="e">
        <f aca="false">AVERAGE('Scan Tests'!H2:H31)</f>
        <v>#DIV/0!</v>
      </c>
    </row>
    <row r="6" customFormat="false" ht="22.05" hidden="false" customHeight="false" outlineLevel="0" collapsed="false">
      <c r="A6" s="11" t="s">
        <v>63</v>
      </c>
      <c r="B6" s="14" t="e">
        <f aca="false">AVERAGE('Scan Tests'!L2:L31)</f>
        <v>#DIV/0!</v>
      </c>
    </row>
    <row r="7" customFormat="false" ht="22.05" hidden="false" customHeight="false" outlineLevel="0" collapsed="false">
      <c r="A7" s="11" t="s">
        <v>64</v>
      </c>
      <c r="B7" s="12" t="n">
        <f aca="false">COUNTIF('Feature Tests'!B2:B50,"PASS")</f>
        <v>0</v>
      </c>
    </row>
    <row r="8" customFormat="false" ht="22.05" hidden="false" customHeight="false" outlineLevel="0" collapsed="false">
      <c r="A8" s="11" t="s">
        <v>65</v>
      </c>
      <c r="B8" s="12" t="n">
        <f aca="false">COUNTIF('Feature Tests'!B2:B50,"FAIL")</f>
        <v>0</v>
      </c>
    </row>
    <row r="9" customFormat="false" ht="22.05" hidden="false" customHeight="false" outlineLevel="0" collapsed="false">
      <c r="A9" s="11" t="s">
        <v>66</v>
      </c>
      <c r="B9" s="12" t="n">
        <f aca="false">COUNTIF('Feature Tests'!B2:B50,"")</f>
        <v>49</v>
      </c>
    </row>
    <row r="11" customFormat="false" ht="16.15" hidden="false" customHeight="false" outlineLevel="0" collapsed="false">
      <c r="A11" s="15" t="s">
        <v>67</v>
      </c>
    </row>
    <row r="12" customFormat="false" ht="15" hidden="false" customHeight="false" outlineLevel="0" collapsed="false">
      <c r="A12" s="1" t="s">
        <v>2</v>
      </c>
      <c r="B12" s="1" t="s">
        <v>68</v>
      </c>
      <c r="C12" s="1" t="s">
        <v>69</v>
      </c>
      <c r="D12" s="1" t="s">
        <v>70</v>
      </c>
      <c r="E12" s="1" t="s">
        <v>61</v>
      </c>
    </row>
    <row r="13" customFormat="false" ht="15" hidden="false" customHeight="false" outlineLevel="0" collapsed="false">
      <c r="A13" s="16" t="s">
        <v>71</v>
      </c>
      <c r="B13" s="17" t="n">
        <f aca="false">COUNTIF('Scan Tests'!C:C,"*Artignetti*")</f>
        <v>0</v>
      </c>
      <c r="C13" s="18" t="e">
        <f aca="false">AVERAGEIF('Scan Tests'!C:C,"*Artignetti*",'Scan Tests'!H:H)</f>
        <v>#DIV/0!</v>
      </c>
      <c r="D13" s="19" t="e">
        <f aca="false">AVERAGEIF('Scan Tests'!C:C,"*Artignetti*",'Scan Tests'!L:L)</f>
        <v>#DIV/0!</v>
      </c>
      <c r="E13" s="18" t="e">
        <f aca="false">COUNTIFS('Scan Tests'!C:C,"*Artignetti*",'Scan Tests'!M:M,"PASS")/COUNTIF('Scan Tests'!C:C,"*Artignetti*")</f>
        <v>#DIV/0!</v>
      </c>
    </row>
    <row r="14" customFormat="false" ht="15" hidden="false" customHeight="false" outlineLevel="0" collapsed="false">
      <c r="A14" s="16" t="s">
        <v>72</v>
      </c>
      <c r="B14" s="17" t="n">
        <f aca="false">COUNTIF('Scan Tests'!C:C,"*Sysco*")</f>
        <v>0</v>
      </c>
      <c r="C14" s="18" t="e">
        <f aca="false">AVERAGEIF('Scan Tests'!C:C,"*Sysco*",'Scan Tests'!H:H)</f>
        <v>#DIV/0!</v>
      </c>
      <c r="D14" s="19" t="e">
        <f aca="false">AVERAGEIF('Scan Tests'!C:C,"*Sysco*",'Scan Tests'!L:L)</f>
        <v>#DIV/0!</v>
      </c>
      <c r="E14" s="18" t="e">
        <f aca="false">COUNTIFS('Scan Tests'!C:C,"*Sysco*",'Scan Tests'!M:M,"PASS")/COUNTIF('Scan Tests'!C:C,"*Sysco*")</f>
        <v>#DIV/0!</v>
      </c>
    </row>
    <row r="15" customFormat="false" ht="15" hidden="false" customHeight="false" outlineLevel="0" collapsed="false">
      <c r="A15" s="16" t="s">
        <v>54</v>
      </c>
      <c r="B15" s="17" t="n">
        <f aca="false">COUNTIF('Scan Tests'!C:C,"*US Foods*")</f>
        <v>0</v>
      </c>
      <c r="C15" s="18" t="e">
        <f aca="false">AVERAGEIF('Scan Tests'!C:C,"*US Foods*",'Scan Tests'!H:H)</f>
        <v>#DIV/0!</v>
      </c>
      <c r="D15" s="19" t="e">
        <f aca="false">AVERAGEIF('Scan Tests'!C:C,"*US Foods*",'Scan Tests'!L:L)</f>
        <v>#DIV/0!</v>
      </c>
      <c r="E15" s="18" t="e">
        <f aca="false">COUNTIFS('Scan Tests'!C:C,"*US Foods*",'Scan Tests'!M:M,"PASS")/COUNTIF('Scan Tests'!C:C,"*US Foods*")</f>
        <v>#DIV/0!</v>
      </c>
    </row>
    <row r="16" customFormat="false" ht="15" hidden="false" customHeight="false" outlineLevel="0" collapsed="false">
      <c r="A16" s="16" t="s">
        <v>55</v>
      </c>
      <c r="B16" s="17" t="n">
        <f aca="false">COUNTIF('Scan Tests'!C:C,"*Restaurant Depot*")</f>
        <v>0</v>
      </c>
      <c r="C16" s="18" t="e">
        <f aca="false">AVERAGEIF('Scan Tests'!C:C,"*Restaurant Depot*",'Scan Tests'!H:H)</f>
        <v>#DIV/0!</v>
      </c>
      <c r="D16" s="19" t="e">
        <f aca="false">AVERAGEIF('Scan Tests'!C:C,"*Restaurant Depot*",'Scan Tests'!L:L)</f>
        <v>#DIV/0!</v>
      </c>
      <c r="E16" s="18" t="e">
        <f aca="false">COUNTIFS('Scan Tests'!C:C,"*Restaurant Depot*",'Scan Tests'!M:M,"PASS")/COUNTIF('Scan Tests'!C:C,"*Restaurant Depot*")</f>
        <v>#DIV/0!</v>
      </c>
    </row>
    <row r="17" customFormat="false" ht="15" hidden="false" customHeight="false" outlineLevel="0" collapsed="false">
      <c r="A17" s="16" t="s">
        <v>73</v>
      </c>
      <c r="B17" s="17" t="n">
        <f aca="false">COUNTIF('Scan Tests'!C:C,"*Southern Glazer's*")</f>
        <v>0</v>
      </c>
      <c r="C17" s="18" t="e">
        <f aca="false">AVERAGEIF('Scan Tests'!C:C,"*Southern Glazer's*",'Scan Tests'!H:H)</f>
        <v>#DIV/0!</v>
      </c>
      <c r="D17" s="19" t="e">
        <f aca="false">AVERAGEIF('Scan Tests'!C:C,"*Southern Glazer's*",'Scan Tests'!L:L)</f>
        <v>#DIV/0!</v>
      </c>
      <c r="E17" s="18" t="e">
        <f aca="false">COUNTIFS('Scan Tests'!C:C,"*Southern Glazer's*",'Scan Tests'!M:M,"PASS")/COUNTIF('Scan Tests'!C:C,"*Southern Glazer's*")</f>
        <v>#DIV/0!</v>
      </c>
    </row>
    <row r="18" customFormat="false" ht="15" hidden="false" customHeight="false" outlineLevel="0" collapsed="false">
      <c r="A18" s="16" t="s">
        <v>74</v>
      </c>
      <c r="B18" s="17" t="n">
        <f aca="false">COUNTIF('Scan Tests'!C:C,"*Performance*")</f>
        <v>0</v>
      </c>
      <c r="C18" s="18" t="e">
        <f aca="false">AVERAGEIF('Scan Tests'!C:C,"*Performance*",'Scan Tests'!H:H)</f>
        <v>#DIV/0!</v>
      </c>
      <c r="D18" s="19" t="e">
        <f aca="false">AVERAGEIF('Scan Tests'!C:C,"*Performance*",'Scan Tests'!L:L)</f>
        <v>#DIV/0!</v>
      </c>
      <c r="E18" s="18" t="e">
        <f aca="false">COUNTIFS('Scan Tests'!C:C,"*Performance*",'Scan Tests'!M:M,"PASS")/COUNTIF('Scan Tests'!C:C,"*Performance*")</f>
        <v>#DIV/0!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2026-03-23T14:42:49Z</dcterms:created>
  <dc:creator>openpyxl</dc:creator>
  <dc:description/>
  <dc:language>en-US</dc:language>
  <cp:lastModifiedBy/>
  <dcterms:modified xsi:type="dcterms:W3CDTF">2026-03-23T14:42:50Z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